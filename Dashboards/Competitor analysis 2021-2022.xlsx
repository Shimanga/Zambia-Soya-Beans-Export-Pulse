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CER\Documents\Data Analysis project folder\Soya Beans Export\"/>
    </mc:Choice>
  </mc:AlternateContent>
  <bookViews>
    <workbookView xWindow="480" yWindow="60" windowWidth="18075" windowHeight="9900"/>
  </bookViews>
  <sheets>
    <sheet name="2021-2022" sheetId="2" r:id="rId1"/>
    <sheet name="pivot tales" sheetId="3" r:id="rId2"/>
    <sheet name="Dashboard" sheetId="4" r:id="rId3"/>
  </sheets>
  <definedNames>
    <definedName name="Slicer_Reporter">#N/A</definedName>
    <definedName name="Slicer_Year">#N/A</definedName>
  </definedNames>
  <calcPr calcId="162913"/>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2" l="1"/>
  <c r="J3" i="2" s="1"/>
  <c r="I4" i="2"/>
  <c r="J4" i="2" s="1"/>
  <c r="I5" i="2"/>
  <c r="J5" i="2" s="1"/>
  <c r="I6" i="2"/>
  <c r="J6" i="2" s="1"/>
  <c r="I7" i="2"/>
  <c r="J7" i="2" s="1"/>
  <c r="I8" i="2"/>
  <c r="J8" i="2" s="1"/>
  <c r="I9" i="2"/>
  <c r="J9" i="2" s="1"/>
  <c r="I10" i="2"/>
  <c r="J10" i="2" s="1"/>
  <c r="I11" i="2"/>
  <c r="J11" i="2" s="1"/>
  <c r="I2" i="2"/>
  <c r="J2" i="2" s="1"/>
</calcChain>
</file>

<file path=xl/sharedStrings.xml><?xml version="1.0" encoding="utf-8"?>
<sst xmlns="http://schemas.openxmlformats.org/spreadsheetml/2006/main" count="85" uniqueCount="25">
  <si>
    <t>Reporter</t>
  </si>
  <si>
    <t>TradeFlow</t>
  </si>
  <si>
    <t>Product Description</t>
  </si>
  <si>
    <t>Year</t>
  </si>
  <si>
    <t>Partner</t>
  </si>
  <si>
    <t>Trade Value 1000USD</t>
  </si>
  <si>
    <t>Quantity</t>
  </si>
  <si>
    <t>Quantity Unit</t>
  </si>
  <si>
    <t>Export</t>
  </si>
  <si>
    <t>Soya beans</t>
  </si>
  <si>
    <t xml:space="preserve"> World</t>
  </si>
  <si>
    <t>Kg</t>
  </si>
  <si>
    <t>Malawi</t>
  </si>
  <si>
    <t>Tanzania</t>
  </si>
  <si>
    <t>South Africa</t>
  </si>
  <si>
    <t>Mozambique</t>
  </si>
  <si>
    <t>Zambia</t>
  </si>
  <si>
    <t>Trade Value in ZMW at 23:1</t>
  </si>
  <si>
    <t>Unit Price ZMW/KG</t>
  </si>
  <si>
    <t>Row Labels</t>
  </si>
  <si>
    <t>Grand Total</t>
  </si>
  <si>
    <t>Sum of Unit Price ZMW/KG</t>
  </si>
  <si>
    <t>Sum of Quantity</t>
  </si>
  <si>
    <t>Sum of Trade Value in ZMW at 23:1</t>
  </si>
  <si>
    <t>Soya Beans Competitor Analysis 2021-222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</si>
</sst>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Red]0.00"/>
    <numFmt numFmtId="165" formatCode="0;[Red]0"/>
  </numFmts>
  <fonts count="3" x14ac:knownFonts="1">
    <font>
      <sz val="11"/>
      <color theme="1"/>
      <name val="Calibri"/>
      <family val="2"/>
      <scheme val="minor"/>
    </font>
    <font>
      <b/>
      <sz val="11"/>
      <color theme="1"/>
      <name val="Calibri"/>
      <family val="2"/>
      <scheme val="minor"/>
    </font>
    <font>
      <b/>
      <sz val="24"/>
      <color theme="0"/>
      <name val="Tahoma"/>
      <family val="2"/>
    </font>
  </fonts>
  <fills count="3">
    <fill>
      <patternFill patternType="none"/>
    </fill>
    <fill>
      <patternFill patternType="gray125"/>
    </fill>
    <fill>
      <patternFill patternType="solid">
        <fgColor rgb="FF006600"/>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4">
    <dxf>
      <font>
        <b/>
        <i val="0"/>
        <strike val="0"/>
        <condense val="0"/>
        <extend val="0"/>
        <outline val="0"/>
        <shadow val="0"/>
        <u val="none"/>
        <vertAlign val="baseline"/>
        <sz val="11"/>
        <color theme="1"/>
        <name val="Calibri"/>
        <scheme val="minor"/>
      </font>
    </dxf>
    <dxf>
      <numFmt numFmtId="165" formatCode="0;[Red]0"/>
    </dxf>
    <dxf>
      <numFmt numFmtId="165" formatCode="0;[Red]0"/>
    </dxf>
    <dxf>
      <numFmt numFmtId="164" formatCode="0.00;[Red]0.00"/>
    </dxf>
  </dxfs>
  <tableStyles count="0" defaultTableStyle="TableStyleMedium2"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[Competitor analysis 2021-2022.xlsx]pivot tales!PivotTable1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Unit</a:t>
            </a:r>
            <a:r>
              <a:rPr lang="en-US" b="1" baseline="0"/>
              <a:t> Price per Exporter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pivotFmt>
      <c:pivotFmt>
        <c:idx val="1"/>
        <c:spPr>
          <a:solidFill>
            <a:schemeClr val="accent3"/>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tales'!$B$1</c:f>
              <c:strCache>
                <c:ptCount val="1"/>
                <c:pt idx="0">
                  <c:v>Total</c:v>
                </c:pt>
              </c:strCache>
            </c:strRef>
          </c:tx>
          <c:spPr>
            <a:solidFill>
              <a:schemeClr val="accent3"/>
            </a:solidFill>
            <a:ln>
              <a:noFill/>
            </a:ln>
            <a:effectLst/>
            <a:sp3d/>
          </c:spPr>
          <c:invertIfNegative val="0"/>
          <c:cat>
            <c:multiLvlStrRef>
              <c:f>'pivot tales'!$A$2:$A$17</c:f>
              <c:multiLvlStrCache>
                <c:ptCount val="10"/>
                <c:lvl>
                  <c:pt idx="0">
                    <c:v>2021</c:v>
                  </c:pt>
                  <c:pt idx="1">
                    <c:v>2022</c:v>
                  </c:pt>
                  <c:pt idx="2">
                    <c:v>2021</c:v>
                  </c:pt>
                  <c:pt idx="3">
                    <c:v>2022</c:v>
                  </c:pt>
                  <c:pt idx="4">
                    <c:v>2021</c:v>
                  </c:pt>
                  <c:pt idx="5">
                    <c:v>2022</c:v>
                  </c:pt>
                  <c:pt idx="6">
                    <c:v>2021</c:v>
                  </c:pt>
                  <c:pt idx="7">
                    <c:v>2022</c:v>
                  </c:pt>
                  <c:pt idx="8">
                    <c:v>2021</c:v>
                  </c:pt>
                  <c:pt idx="9">
                    <c:v>2022</c:v>
                  </c:pt>
                </c:lvl>
                <c:lvl>
                  <c:pt idx="0">
                    <c:v>Malawi</c:v>
                  </c:pt>
                  <c:pt idx="2">
                    <c:v>Mozambique</c:v>
                  </c:pt>
                  <c:pt idx="4">
                    <c:v>South Africa</c:v>
                  </c:pt>
                  <c:pt idx="6">
                    <c:v>Tanzania</c:v>
                  </c:pt>
                  <c:pt idx="8">
                    <c:v>Zambia</c:v>
                  </c:pt>
                </c:lvl>
              </c:multiLvlStrCache>
            </c:multiLvlStrRef>
          </c:cat>
          <c:val>
            <c:numRef>
              <c:f>'pivot tales'!$B$2:$B$17</c:f>
              <c:numCache>
                <c:formatCode>General</c:formatCode>
                <c:ptCount val="10"/>
                <c:pt idx="0">
                  <c:v>54.237579237992954</c:v>
                </c:pt>
                <c:pt idx="1">
                  <c:v>17.531453801194921</c:v>
                </c:pt>
                <c:pt idx="2">
                  <c:v>7.7912022868037933</c:v>
                </c:pt>
                <c:pt idx="3">
                  <c:v>5.5090197243270911</c:v>
                </c:pt>
                <c:pt idx="4">
                  <c:v>15.221521562763066</c:v>
                </c:pt>
                <c:pt idx="5">
                  <c:v>16.133432672895935</c:v>
                </c:pt>
                <c:pt idx="6">
                  <c:v>16.02424203821656</c:v>
                </c:pt>
                <c:pt idx="7">
                  <c:v>16.548742393375395</c:v>
                </c:pt>
                <c:pt idx="8">
                  <c:v>14.787251068554646</c:v>
                </c:pt>
                <c:pt idx="9">
                  <c:v>15.533893737307206</c:v>
                </c:pt>
              </c:numCache>
            </c:numRef>
          </c:val>
          <c:extLst>
            <c:ext xmlns:c16="http://schemas.microsoft.com/office/drawing/2014/chart" uri="{C3380CC4-5D6E-409C-BE32-E72D297353CC}">
              <c16:uniqueId val="{00000000-6369-4351-8596-E7CA63AE9980}"/>
            </c:ext>
          </c:extLst>
        </c:ser>
        <c:dLbls>
          <c:showLegendKey val="0"/>
          <c:showVal val="0"/>
          <c:showCatName val="0"/>
          <c:showSerName val="0"/>
          <c:showPercent val="0"/>
          <c:showBubbleSize val="0"/>
        </c:dLbls>
        <c:gapWidth val="150"/>
        <c:shape val="box"/>
        <c:axId val="261125792"/>
        <c:axId val="261137440"/>
        <c:axId val="0"/>
      </c:bar3DChart>
      <c:catAx>
        <c:axId val="26112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37440"/>
        <c:crosses val="autoZero"/>
        <c:auto val="1"/>
        <c:lblAlgn val="ctr"/>
        <c:lblOffset val="100"/>
        <c:noMultiLvlLbl val="0"/>
      </c:catAx>
      <c:valAx>
        <c:axId val="26113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25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[Competitor analysis 2021-2022.xlsx]pivot tales!PivotTable2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Quantity per Exporter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pivotFmt>
      <c:pivotFmt>
        <c:idx val="1"/>
        <c:spPr>
          <a:solidFill>
            <a:schemeClr val="accent3"/>
          </a:solidFill>
          <a:ln w="28575" cap="rnd">
            <a:solidFill>
              <a:schemeClr val="accent3"/>
            </a:solidFill>
            <a:round/>
          </a:ln>
          <a:effectLst/>
        </c:spPr>
        <c:marker>
          <c:symbol val="none"/>
        </c:marker>
      </c:pivotFmt>
      <c:pivotFmt>
        <c:idx val="2"/>
        <c:spPr>
          <a:ln w="28575" cap="rnd">
            <a:solidFill>
              <a:schemeClr val="accent3"/>
            </a:solidFill>
            <a:round/>
          </a:ln>
          <a:effectLst/>
        </c:spPr>
        <c:marker>
          <c:symbol val="none"/>
        </c:marker>
      </c:pivotFmt>
    </c:pivotFmts>
    <c:plotArea>
      <c:layout/>
      <c:lineChart>
        <c:grouping val="standard"/>
        <c:varyColors val="0"/>
        <c:ser>
          <c:idx val="0"/>
          <c:order val="0"/>
          <c:tx>
            <c:strRef>
              <c:f>'pivot tales'!$B$21</c:f>
              <c:strCache>
                <c:ptCount val="1"/>
                <c:pt idx="0">
                  <c:v>Total</c:v>
                </c:pt>
              </c:strCache>
            </c:strRef>
          </c:tx>
          <c:spPr>
            <a:ln w="28575" cap="rnd">
              <a:solidFill>
                <a:schemeClr val="accent3"/>
              </a:solidFill>
              <a:round/>
            </a:ln>
            <a:effectLst/>
          </c:spPr>
          <c:marker>
            <c:symbol val="none"/>
          </c:marker>
          <c:cat>
            <c:multiLvlStrRef>
              <c:f>'pivot tales'!$A$22:$A$37</c:f>
              <c:multiLvlStrCache>
                <c:ptCount val="10"/>
                <c:lvl>
                  <c:pt idx="0">
                    <c:v>2021</c:v>
                  </c:pt>
                  <c:pt idx="1">
                    <c:v>2022</c:v>
                  </c:pt>
                  <c:pt idx="2">
                    <c:v>2021</c:v>
                  </c:pt>
                  <c:pt idx="3">
                    <c:v>2022</c:v>
                  </c:pt>
                  <c:pt idx="4">
                    <c:v>2021</c:v>
                  </c:pt>
                  <c:pt idx="5">
                    <c:v>2022</c:v>
                  </c:pt>
                  <c:pt idx="6">
                    <c:v>2021</c:v>
                  </c:pt>
                  <c:pt idx="7">
                    <c:v>2022</c:v>
                  </c:pt>
                  <c:pt idx="8">
                    <c:v>2021</c:v>
                  </c:pt>
                  <c:pt idx="9">
                    <c:v>2022</c:v>
                  </c:pt>
                </c:lvl>
                <c:lvl>
                  <c:pt idx="0">
                    <c:v>Malawi</c:v>
                  </c:pt>
                  <c:pt idx="2">
                    <c:v>Mozambique</c:v>
                  </c:pt>
                  <c:pt idx="4">
                    <c:v>South Africa</c:v>
                  </c:pt>
                  <c:pt idx="6">
                    <c:v>Tanzania</c:v>
                  </c:pt>
                  <c:pt idx="8">
                    <c:v>Zambia</c:v>
                  </c:pt>
                </c:lvl>
              </c:multiLvlStrCache>
            </c:multiLvlStrRef>
          </c:cat>
          <c:val>
            <c:numRef>
              <c:f>'pivot tales'!$B$22:$B$37</c:f>
              <c:numCache>
                <c:formatCode>General</c:formatCode>
                <c:ptCount val="10"/>
                <c:pt idx="0">
                  <c:v>45828710</c:v>
                </c:pt>
                <c:pt idx="1">
                  <c:v>32320100</c:v>
                </c:pt>
                <c:pt idx="2">
                  <c:v>68812200</c:v>
                </c:pt>
                <c:pt idx="3">
                  <c:v>79115500</c:v>
                </c:pt>
                <c:pt idx="4">
                  <c:v>39320100</c:v>
                </c:pt>
                <c:pt idx="5">
                  <c:v>237267000</c:v>
                </c:pt>
                <c:pt idx="6">
                  <c:v>108330000</c:v>
                </c:pt>
                <c:pt idx="7">
                  <c:v>45503100</c:v>
                </c:pt>
                <c:pt idx="8">
                  <c:v>33503200</c:v>
                </c:pt>
                <c:pt idx="9">
                  <c:v>18219000</c:v>
                </c:pt>
              </c:numCache>
            </c:numRef>
          </c:val>
          <c:smooth val="0"/>
          <c:extLst>
            <c:ext xmlns:c16="http://schemas.microsoft.com/office/drawing/2014/chart" uri="{C3380CC4-5D6E-409C-BE32-E72D297353CC}">
              <c16:uniqueId val="{00000000-CFC8-47A9-A3F6-CE4DAE37A4F2}"/>
            </c:ext>
          </c:extLst>
        </c:ser>
        <c:dLbls>
          <c:showLegendKey val="0"/>
          <c:showVal val="0"/>
          <c:showCatName val="0"/>
          <c:showSerName val="0"/>
          <c:showPercent val="0"/>
          <c:showBubbleSize val="0"/>
        </c:dLbls>
        <c:smooth val="0"/>
        <c:axId val="261130784"/>
        <c:axId val="261129536"/>
      </c:lineChart>
      <c:catAx>
        <c:axId val="2611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29536"/>
        <c:crosses val="autoZero"/>
        <c:auto val="1"/>
        <c:lblAlgn val="ctr"/>
        <c:lblOffset val="100"/>
        <c:noMultiLvlLbl val="0"/>
      </c:catAx>
      <c:valAx>
        <c:axId val="26112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30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[Competitor analysis 2021-2022.xlsx]pivot tales!PivotTable3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Value Exported per Exporter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s>
    <c:plotArea>
      <c:layout/>
      <c:barChart>
        <c:barDir val="bar"/>
        <c:grouping val="clustered"/>
        <c:varyColors val="0"/>
        <c:ser>
          <c:idx val="0"/>
          <c:order val="0"/>
          <c:tx>
            <c:strRef>
              <c:f>'pivot tales'!$B$40</c:f>
              <c:strCache>
                <c:ptCount val="1"/>
                <c:pt idx="0">
                  <c:v>Total</c:v>
                </c:pt>
              </c:strCache>
            </c:strRef>
          </c:tx>
          <c:spPr>
            <a:solidFill>
              <a:schemeClr val="accent3"/>
            </a:solidFill>
            <a:ln>
              <a:noFill/>
            </a:ln>
            <a:effectLst/>
          </c:spPr>
          <c:invertIfNegative val="0"/>
          <c:cat>
            <c:multiLvlStrRef>
              <c:f>'pivot tales'!$A$41:$A$56</c:f>
              <c:multiLvlStrCache>
                <c:ptCount val="10"/>
                <c:lvl>
                  <c:pt idx="0">
                    <c:v>2021</c:v>
                  </c:pt>
                  <c:pt idx="1">
                    <c:v>2022</c:v>
                  </c:pt>
                  <c:pt idx="2">
                    <c:v>2021</c:v>
                  </c:pt>
                  <c:pt idx="3">
                    <c:v>2022</c:v>
                  </c:pt>
                  <c:pt idx="4">
                    <c:v>2021</c:v>
                  </c:pt>
                  <c:pt idx="5">
                    <c:v>2022</c:v>
                  </c:pt>
                  <c:pt idx="6">
                    <c:v>2021</c:v>
                  </c:pt>
                  <c:pt idx="7">
                    <c:v>2022</c:v>
                  </c:pt>
                  <c:pt idx="8">
                    <c:v>2021</c:v>
                  </c:pt>
                  <c:pt idx="9">
                    <c:v>2022</c:v>
                  </c:pt>
                </c:lvl>
                <c:lvl>
                  <c:pt idx="0">
                    <c:v>Malawi</c:v>
                  </c:pt>
                  <c:pt idx="2">
                    <c:v>Mozambique</c:v>
                  </c:pt>
                  <c:pt idx="4">
                    <c:v>South Africa</c:v>
                  </c:pt>
                  <c:pt idx="6">
                    <c:v>Tanzania</c:v>
                  </c:pt>
                  <c:pt idx="8">
                    <c:v>Zambia</c:v>
                  </c:pt>
                </c:lvl>
              </c:multiLvlStrCache>
            </c:multiLvlStrRef>
          </c:cat>
          <c:val>
            <c:numRef>
              <c:f>'pivot tales'!$B$41:$B$56</c:f>
              <c:numCache>
                <c:formatCode>General</c:formatCode>
                <c:ptCount val="10"/>
                <c:pt idx="0">
                  <c:v>2485638290</c:v>
                </c:pt>
                <c:pt idx="1">
                  <c:v>566618340</c:v>
                </c:pt>
                <c:pt idx="2">
                  <c:v>536129770</c:v>
                </c:pt>
                <c:pt idx="3">
                  <c:v>435848850</c:v>
                </c:pt>
                <c:pt idx="4">
                  <c:v>598511750</c:v>
                </c:pt>
                <c:pt idx="5">
                  <c:v>3827931170</c:v>
                </c:pt>
                <c:pt idx="6">
                  <c:v>1735906140</c:v>
                </c:pt>
                <c:pt idx="7">
                  <c:v>753019080</c:v>
                </c:pt>
                <c:pt idx="8">
                  <c:v>495420230</c:v>
                </c:pt>
                <c:pt idx="9">
                  <c:v>283012010</c:v>
                </c:pt>
              </c:numCache>
            </c:numRef>
          </c:val>
          <c:extLst>
            <c:ext xmlns:c16="http://schemas.microsoft.com/office/drawing/2014/chart" uri="{C3380CC4-5D6E-409C-BE32-E72D297353CC}">
              <c16:uniqueId val="{00000000-7AC1-4AA7-B729-B81FB91D1B7D}"/>
            </c:ext>
          </c:extLst>
        </c:ser>
        <c:dLbls>
          <c:showLegendKey val="0"/>
          <c:showVal val="0"/>
          <c:showCatName val="0"/>
          <c:showSerName val="0"/>
          <c:showPercent val="0"/>
          <c:showBubbleSize val="0"/>
        </c:dLbls>
        <c:gapWidth val="182"/>
        <c:axId val="252436688"/>
        <c:axId val="252442512"/>
      </c:barChart>
      <c:catAx>
        <c:axId val="25243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42512"/>
        <c:crosses val="autoZero"/>
        <c:auto val="1"/>
        <c:lblAlgn val="ctr"/>
        <c:lblOffset val="100"/>
        <c:noMultiLvlLbl val="0"/>
      </c:catAx>
      <c:valAx>
        <c:axId val="25244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36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[Competitor analysis 2021-2022.xlsx]pivot tales!PivotTable1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Unit</a:t>
            </a:r>
            <a:r>
              <a:rPr lang="en-US" b="1" baseline="0"/>
              <a:t> Price per Exporter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pivotFmt>
      <c:pivotFmt>
        <c:idx val="1"/>
        <c:spPr>
          <a:solidFill>
            <a:schemeClr val="accent3"/>
          </a:solidFill>
          <a:ln>
            <a:noFill/>
          </a:ln>
          <a:effectLst/>
          <a:sp3d/>
        </c:spPr>
        <c:marker>
          <c:symbol val="none"/>
        </c:marker>
      </c:pivotFmt>
      <c:pivotFmt>
        <c:idx val="2"/>
        <c:spPr>
          <a:solidFill>
            <a:schemeClr val="accent3"/>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tales'!$B$1</c:f>
              <c:strCache>
                <c:ptCount val="1"/>
                <c:pt idx="0">
                  <c:v>Total</c:v>
                </c:pt>
              </c:strCache>
            </c:strRef>
          </c:tx>
          <c:spPr>
            <a:solidFill>
              <a:schemeClr val="accent3"/>
            </a:solidFill>
            <a:ln>
              <a:noFill/>
            </a:ln>
            <a:effectLst/>
            <a:sp3d/>
          </c:spPr>
          <c:invertIfNegative val="0"/>
          <c:cat>
            <c:multiLvlStrRef>
              <c:f>'pivot tales'!$A$2:$A$17</c:f>
              <c:multiLvlStrCache>
                <c:ptCount val="10"/>
                <c:lvl>
                  <c:pt idx="0">
                    <c:v>2021</c:v>
                  </c:pt>
                  <c:pt idx="1">
                    <c:v>2022</c:v>
                  </c:pt>
                  <c:pt idx="2">
                    <c:v>2021</c:v>
                  </c:pt>
                  <c:pt idx="3">
                    <c:v>2022</c:v>
                  </c:pt>
                  <c:pt idx="4">
                    <c:v>2021</c:v>
                  </c:pt>
                  <c:pt idx="5">
                    <c:v>2022</c:v>
                  </c:pt>
                  <c:pt idx="6">
                    <c:v>2021</c:v>
                  </c:pt>
                  <c:pt idx="7">
                    <c:v>2022</c:v>
                  </c:pt>
                  <c:pt idx="8">
                    <c:v>2021</c:v>
                  </c:pt>
                  <c:pt idx="9">
                    <c:v>2022</c:v>
                  </c:pt>
                </c:lvl>
                <c:lvl>
                  <c:pt idx="0">
                    <c:v>Malawi</c:v>
                  </c:pt>
                  <c:pt idx="2">
                    <c:v>Mozambique</c:v>
                  </c:pt>
                  <c:pt idx="4">
                    <c:v>South Africa</c:v>
                  </c:pt>
                  <c:pt idx="6">
                    <c:v>Tanzania</c:v>
                  </c:pt>
                  <c:pt idx="8">
                    <c:v>Zambia</c:v>
                  </c:pt>
                </c:lvl>
              </c:multiLvlStrCache>
            </c:multiLvlStrRef>
          </c:cat>
          <c:val>
            <c:numRef>
              <c:f>'pivot tales'!$B$2:$B$17</c:f>
              <c:numCache>
                <c:formatCode>General</c:formatCode>
                <c:ptCount val="10"/>
                <c:pt idx="0">
                  <c:v>54.237579237992954</c:v>
                </c:pt>
                <c:pt idx="1">
                  <c:v>17.531453801194921</c:v>
                </c:pt>
                <c:pt idx="2">
                  <c:v>7.7912022868037933</c:v>
                </c:pt>
                <c:pt idx="3">
                  <c:v>5.5090197243270911</c:v>
                </c:pt>
                <c:pt idx="4">
                  <c:v>15.221521562763066</c:v>
                </c:pt>
                <c:pt idx="5">
                  <c:v>16.133432672895935</c:v>
                </c:pt>
                <c:pt idx="6">
                  <c:v>16.02424203821656</c:v>
                </c:pt>
                <c:pt idx="7">
                  <c:v>16.548742393375395</c:v>
                </c:pt>
                <c:pt idx="8">
                  <c:v>14.787251068554646</c:v>
                </c:pt>
                <c:pt idx="9">
                  <c:v>15.533893737307206</c:v>
                </c:pt>
              </c:numCache>
            </c:numRef>
          </c:val>
          <c:extLst>
            <c:ext xmlns:c16="http://schemas.microsoft.com/office/drawing/2014/chart" uri="{C3380CC4-5D6E-409C-BE32-E72D297353CC}">
              <c16:uniqueId val="{00000000-B7A1-4A2D-A400-8BB2C81BC377}"/>
            </c:ext>
          </c:extLst>
        </c:ser>
        <c:dLbls>
          <c:showLegendKey val="0"/>
          <c:showVal val="0"/>
          <c:showCatName val="0"/>
          <c:showSerName val="0"/>
          <c:showPercent val="0"/>
          <c:showBubbleSize val="0"/>
        </c:dLbls>
        <c:gapWidth val="150"/>
        <c:shape val="box"/>
        <c:axId val="261125792"/>
        <c:axId val="261137440"/>
        <c:axId val="0"/>
      </c:bar3DChart>
      <c:catAx>
        <c:axId val="26112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Exporter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37440"/>
        <c:crosses val="autoZero"/>
        <c:auto val="1"/>
        <c:lblAlgn val="ctr"/>
        <c:lblOffset val="100"/>
        <c:noMultiLvlLbl val="0"/>
      </c:catAx>
      <c:valAx>
        <c:axId val="26113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a:t>
                </a:r>
                <a:r>
                  <a:rPr lang="en-US" baseline="0"/>
                  <a:t> Price ZMW/KG</a:t>
                </a:r>
                <a:r>
                  <a:rPr lang="en-US"/>
                  <a:t> 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25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[Competitor analysis 2021-2022.xlsx]pivot tales!PivotTable2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Quantity per Exporter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pivotFmt>
      <c:pivotFmt>
        <c:idx val="1"/>
        <c:spPr>
          <a:solidFill>
            <a:schemeClr val="accent3"/>
          </a:solidFill>
          <a:ln w="28575" cap="rnd">
            <a:solidFill>
              <a:schemeClr val="accent3"/>
            </a:solidFill>
            <a:round/>
          </a:ln>
          <a:effectLst/>
        </c:spPr>
        <c:marker>
          <c:symbol val="none"/>
        </c:marker>
      </c:pivotFmt>
      <c:pivotFmt>
        <c:idx val="2"/>
        <c:spPr>
          <a:solidFill>
            <a:schemeClr val="accent3"/>
          </a:solidFill>
          <a:ln w="28575" cap="rnd">
            <a:solidFill>
              <a:schemeClr val="accent3"/>
            </a:solidFill>
            <a:round/>
          </a:ln>
          <a:effectLst/>
        </c:spPr>
        <c:marker>
          <c:symbol val="none"/>
        </c:marker>
      </c:pivotFmt>
      <c:pivotFmt>
        <c:idx val="3"/>
        <c:spPr>
          <a:ln w="28575" cap="rnd">
            <a:solidFill>
              <a:schemeClr val="accent3"/>
            </a:solidFill>
            <a:round/>
          </a:ln>
          <a:effectLst/>
        </c:spPr>
        <c:marker>
          <c:symbol val="none"/>
        </c:marker>
      </c:pivotFmt>
    </c:pivotFmts>
    <c:plotArea>
      <c:layout>
        <c:manualLayout>
          <c:layoutTarget val="inner"/>
          <c:xMode val="edge"/>
          <c:yMode val="edge"/>
          <c:x val="0.17130768998702747"/>
          <c:y val="0.23047427582190524"/>
          <c:w val="0.69376462424955498"/>
          <c:h val="0.5276774445747473"/>
        </c:manualLayout>
      </c:layout>
      <c:lineChart>
        <c:grouping val="standard"/>
        <c:varyColors val="0"/>
        <c:ser>
          <c:idx val="0"/>
          <c:order val="0"/>
          <c:tx>
            <c:strRef>
              <c:f>'pivot tales'!$B$21</c:f>
              <c:strCache>
                <c:ptCount val="1"/>
                <c:pt idx="0">
                  <c:v>Total</c:v>
                </c:pt>
              </c:strCache>
            </c:strRef>
          </c:tx>
          <c:spPr>
            <a:ln w="28575" cap="rnd">
              <a:solidFill>
                <a:schemeClr val="accent3"/>
              </a:solidFill>
              <a:round/>
            </a:ln>
            <a:effectLst/>
          </c:spPr>
          <c:marker>
            <c:symbol val="none"/>
          </c:marker>
          <c:cat>
            <c:multiLvlStrRef>
              <c:f>'pivot tales'!$A$22:$A$37</c:f>
              <c:multiLvlStrCache>
                <c:ptCount val="10"/>
                <c:lvl>
                  <c:pt idx="0">
                    <c:v>2021</c:v>
                  </c:pt>
                  <c:pt idx="1">
                    <c:v>2022</c:v>
                  </c:pt>
                  <c:pt idx="2">
                    <c:v>2021</c:v>
                  </c:pt>
                  <c:pt idx="3">
                    <c:v>2022</c:v>
                  </c:pt>
                  <c:pt idx="4">
                    <c:v>2021</c:v>
                  </c:pt>
                  <c:pt idx="5">
                    <c:v>2022</c:v>
                  </c:pt>
                  <c:pt idx="6">
                    <c:v>2021</c:v>
                  </c:pt>
                  <c:pt idx="7">
                    <c:v>2022</c:v>
                  </c:pt>
                  <c:pt idx="8">
                    <c:v>2021</c:v>
                  </c:pt>
                  <c:pt idx="9">
                    <c:v>2022</c:v>
                  </c:pt>
                </c:lvl>
                <c:lvl>
                  <c:pt idx="0">
                    <c:v>Malawi</c:v>
                  </c:pt>
                  <c:pt idx="2">
                    <c:v>Mozambique</c:v>
                  </c:pt>
                  <c:pt idx="4">
                    <c:v>South Africa</c:v>
                  </c:pt>
                  <c:pt idx="6">
                    <c:v>Tanzania</c:v>
                  </c:pt>
                  <c:pt idx="8">
                    <c:v>Zambia</c:v>
                  </c:pt>
                </c:lvl>
              </c:multiLvlStrCache>
            </c:multiLvlStrRef>
          </c:cat>
          <c:val>
            <c:numRef>
              <c:f>'pivot tales'!$B$22:$B$37</c:f>
              <c:numCache>
                <c:formatCode>General</c:formatCode>
                <c:ptCount val="10"/>
                <c:pt idx="0">
                  <c:v>45828710</c:v>
                </c:pt>
                <c:pt idx="1">
                  <c:v>32320100</c:v>
                </c:pt>
                <c:pt idx="2">
                  <c:v>68812200</c:v>
                </c:pt>
                <c:pt idx="3">
                  <c:v>79115500</c:v>
                </c:pt>
                <c:pt idx="4">
                  <c:v>39320100</c:v>
                </c:pt>
                <c:pt idx="5">
                  <c:v>237267000</c:v>
                </c:pt>
                <c:pt idx="6">
                  <c:v>108330000</c:v>
                </c:pt>
                <c:pt idx="7">
                  <c:v>45503100</c:v>
                </c:pt>
                <c:pt idx="8">
                  <c:v>33503200</c:v>
                </c:pt>
                <c:pt idx="9">
                  <c:v>18219000</c:v>
                </c:pt>
              </c:numCache>
            </c:numRef>
          </c:val>
          <c:smooth val="0"/>
          <c:extLst>
            <c:ext xmlns:c16="http://schemas.microsoft.com/office/drawing/2014/chart" uri="{C3380CC4-5D6E-409C-BE32-E72D297353CC}">
              <c16:uniqueId val="{00000000-D6F9-4473-88BE-18C7055360EE}"/>
            </c:ext>
          </c:extLst>
        </c:ser>
        <c:dLbls>
          <c:showLegendKey val="0"/>
          <c:showVal val="0"/>
          <c:showCatName val="0"/>
          <c:showSerName val="0"/>
          <c:showPercent val="0"/>
          <c:showBubbleSize val="0"/>
        </c:dLbls>
        <c:smooth val="0"/>
        <c:axId val="261130784"/>
        <c:axId val="261129536"/>
      </c:lineChart>
      <c:catAx>
        <c:axId val="26113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Exporter</a:t>
                </a:r>
                <a:r>
                  <a:rPr lang="en-US" baseline="0"/>
                  <a:t> and year</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29536"/>
        <c:crosses val="autoZero"/>
        <c:auto val="1"/>
        <c:lblAlgn val="ctr"/>
        <c:lblOffset val="100"/>
        <c:noMultiLvlLbl val="0"/>
      </c:catAx>
      <c:valAx>
        <c:axId val="26112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r>
                  <a:rPr lang="en-US" baseline="0"/>
                  <a:t> (MT)</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30784"/>
        <c:crosses val="autoZero"/>
        <c:crossBetween val="between"/>
      </c:valAx>
      <c:spPr>
        <a:noFill/>
        <a:ln>
          <a:noFill/>
        </a:ln>
        <a:effectLst/>
      </c:spPr>
    </c:plotArea>
    <c:legend>
      <c:legendPos val="r"/>
      <c:layout>
        <c:manualLayout>
          <c:xMode val="edge"/>
          <c:yMode val="edge"/>
          <c:x val="0.86813744833619932"/>
          <c:y val="0.51715258996880709"/>
          <c:w val="0.11347174706609951"/>
          <c:h val="7.14290500921427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[Competitor analysis 2021-2022.xlsx]pivot tales!PivotTable3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Value Exported per Exporter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pivotFmt>
    </c:pivotFmts>
    <c:plotArea>
      <c:layout>
        <c:manualLayout>
          <c:layoutTarget val="inner"/>
          <c:xMode val="edge"/>
          <c:yMode val="edge"/>
          <c:x val="0.4029650369126887"/>
          <c:y val="0.22908168201029253"/>
          <c:w val="0.47024151611970572"/>
          <c:h val="0.67747111671464033"/>
        </c:manualLayout>
      </c:layout>
      <c:barChart>
        <c:barDir val="bar"/>
        <c:grouping val="clustered"/>
        <c:varyColors val="0"/>
        <c:ser>
          <c:idx val="0"/>
          <c:order val="0"/>
          <c:tx>
            <c:strRef>
              <c:f>'pivot tales'!$B$40</c:f>
              <c:strCache>
                <c:ptCount val="1"/>
                <c:pt idx="0">
                  <c:v>Total</c:v>
                </c:pt>
              </c:strCache>
            </c:strRef>
          </c:tx>
          <c:spPr>
            <a:solidFill>
              <a:schemeClr val="accent3"/>
            </a:solidFill>
            <a:ln>
              <a:noFill/>
            </a:ln>
            <a:effectLst/>
          </c:spPr>
          <c:invertIfNegative val="0"/>
          <c:cat>
            <c:multiLvlStrRef>
              <c:f>'pivot tales'!$A$41:$A$56</c:f>
              <c:multiLvlStrCache>
                <c:ptCount val="10"/>
                <c:lvl>
                  <c:pt idx="0">
                    <c:v>2021</c:v>
                  </c:pt>
                  <c:pt idx="1">
                    <c:v>2022</c:v>
                  </c:pt>
                  <c:pt idx="2">
                    <c:v>2021</c:v>
                  </c:pt>
                  <c:pt idx="3">
                    <c:v>2022</c:v>
                  </c:pt>
                  <c:pt idx="4">
                    <c:v>2021</c:v>
                  </c:pt>
                  <c:pt idx="5">
                    <c:v>2022</c:v>
                  </c:pt>
                  <c:pt idx="6">
                    <c:v>2021</c:v>
                  </c:pt>
                  <c:pt idx="7">
                    <c:v>2022</c:v>
                  </c:pt>
                  <c:pt idx="8">
                    <c:v>2021</c:v>
                  </c:pt>
                  <c:pt idx="9">
                    <c:v>2022</c:v>
                  </c:pt>
                </c:lvl>
                <c:lvl>
                  <c:pt idx="0">
                    <c:v>Malawi</c:v>
                  </c:pt>
                  <c:pt idx="2">
                    <c:v>Mozambique</c:v>
                  </c:pt>
                  <c:pt idx="4">
                    <c:v>South Africa</c:v>
                  </c:pt>
                  <c:pt idx="6">
                    <c:v>Tanzania</c:v>
                  </c:pt>
                  <c:pt idx="8">
                    <c:v>Zambia</c:v>
                  </c:pt>
                </c:lvl>
              </c:multiLvlStrCache>
            </c:multiLvlStrRef>
          </c:cat>
          <c:val>
            <c:numRef>
              <c:f>'pivot tales'!$B$41:$B$56</c:f>
              <c:numCache>
                <c:formatCode>General</c:formatCode>
                <c:ptCount val="10"/>
                <c:pt idx="0">
                  <c:v>2485638290</c:v>
                </c:pt>
                <c:pt idx="1">
                  <c:v>566618340</c:v>
                </c:pt>
                <c:pt idx="2">
                  <c:v>536129770</c:v>
                </c:pt>
                <c:pt idx="3">
                  <c:v>435848850</c:v>
                </c:pt>
                <c:pt idx="4">
                  <c:v>598511750</c:v>
                </c:pt>
                <c:pt idx="5">
                  <c:v>3827931170</c:v>
                </c:pt>
                <c:pt idx="6">
                  <c:v>1735906140</c:v>
                </c:pt>
                <c:pt idx="7">
                  <c:v>753019080</c:v>
                </c:pt>
                <c:pt idx="8">
                  <c:v>495420230</c:v>
                </c:pt>
                <c:pt idx="9">
                  <c:v>283012010</c:v>
                </c:pt>
              </c:numCache>
            </c:numRef>
          </c:val>
          <c:extLst>
            <c:ext xmlns:c16="http://schemas.microsoft.com/office/drawing/2014/chart" uri="{C3380CC4-5D6E-409C-BE32-E72D297353CC}">
              <c16:uniqueId val="{00000000-6FEB-4899-B170-B567CDAB9033}"/>
            </c:ext>
          </c:extLst>
        </c:ser>
        <c:dLbls>
          <c:showLegendKey val="0"/>
          <c:showVal val="0"/>
          <c:showCatName val="0"/>
          <c:showSerName val="0"/>
          <c:showPercent val="0"/>
          <c:showBubbleSize val="0"/>
        </c:dLbls>
        <c:gapWidth val="182"/>
        <c:axId val="252436688"/>
        <c:axId val="252442512"/>
      </c:barChart>
      <c:catAx>
        <c:axId val="2524366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Exporter/Year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42512"/>
        <c:crosses val="autoZero"/>
        <c:auto val="1"/>
        <c:lblAlgn val="ctr"/>
        <c:lblOffset val="100"/>
        <c:noMultiLvlLbl val="0"/>
      </c:catAx>
      <c:valAx>
        <c:axId val="25244251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52436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833437</xdr:colOff>
      <xdr:row>2</xdr:row>
      <xdr:rowOff>114300</xdr:rowOff>
    </xdr:from>
    <xdr:to>
      <xdr:col>9</xdr:col>
      <xdr:colOff>42862</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1014412</xdr:colOff>
      <xdr:row>17</xdr:row>
      <xdr:rowOff>142875</xdr:rowOff>
    </xdr:from>
    <xdr:to>
      <xdr:col>9</xdr:col>
      <xdr:colOff>223837</xdr:colOff>
      <xdr:row>32</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985836</xdr:colOff>
      <xdr:row>37</xdr:row>
      <xdr:rowOff>142874</xdr:rowOff>
    </xdr:from>
    <xdr:to>
      <xdr:col>9</xdr:col>
      <xdr:colOff>428624</xdr:colOff>
      <xdr:row>54</xdr:row>
      <xdr:rowOff>76199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4</xdr:row>
      <xdr:rowOff>47625</xdr:rowOff>
    </xdr:from>
    <xdr:to>
      <xdr:col>12</xdr:col>
      <xdr:colOff>600075</xdr:colOff>
      <xdr:row>18</xdr:row>
      <xdr:rowOff>123825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xdr:colOff>
      <xdr:row>18</xdr:row>
      <xdr:rowOff>152399</xdr:rowOff>
    </xdr:from>
    <xdr:to>
      <xdr:col>13</xdr:col>
      <xdr:colOff>19051</xdr:colOff>
      <xdr:row>35</xdr:row>
      <xdr:rowOff>47624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57152</xdr:colOff>
      <xdr:row>18</xdr:row>
      <xdr:rowOff>152400</xdr:rowOff>
    </xdr:from>
    <xdr:to>
      <xdr:col>5</xdr:col>
      <xdr:colOff>561976</xdr:colOff>
      <xdr:row>35</xdr:row>
      <xdr:rowOff>66675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57150</xdr:rowOff>
    </xdr:from>
    <xdr:to>
      <xdr:col>3</xdr:col>
      <xdr:colOff>0</xdr:colOff>
      <xdr:row>9</xdr:row>
      <xdr:rowOff>28575</xdr:rowOff>
    </xdr:to>
    <mc:AlternateContent xmlns:mc="http://schemas.openxmlformats.org/markup-compatibility/2006" xmlns:a14="http://schemas.microsoft.com/office/drawing/2010/main">
      <mc:Choice Requires="a14">
        <xdr:graphicFrame macro="">
          <xdr:nvGraphicFramePr>
            <xdr:cNvPr id="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81915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47626</xdr:rowOff>
    </xdr:from>
    <xdr:to>
      <xdr:col>3</xdr:col>
      <xdr:colOff>9525</xdr:colOff>
      <xdr:row>18</xdr:row>
      <xdr:rowOff>104776</xdr:rowOff>
    </xdr:to>
    <mc:AlternateContent xmlns:mc="http://schemas.openxmlformats.org/markup-compatibility/2006" xmlns:a14="http://schemas.microsoft.com/office/drawing/2010/main">
      <mc:Choice Requires="a14">
        <xdr:graphicFrame macro="">
          <xdr:nvGraphicFramePr>
            <xdr:cNvPr id="6" name="Reporter"/>
            <xdr:cNvGraphicFramePr/>
          </xdr:nvGraphicFramePr>
          <xdr:xfrm>
            <a:off x="0" y="0"/>
            <a:ext cx="0" cy="0"/>
          </xdr:xfrm>
          <a:graphic>
            <a:graphicData uri="http://schemas.microsoft.com/office/drawing/2010/slicer">
              <sle:slicer xmlns:sle="http://schemas.microsoft.com/office/drawing/2010/slicer" name="Reporter"/>
            </a:graphicData>
          </a:graphic>
        </xdr:graphicFrame>
      </mc:Choice>
      <mc:Fallback xmlns="">
        <xdr:sp macro="" textlink="">
          <xdr:nvSpPr>
            <xdr:cNvPr id="0" name=""/>
            <xdr:cNvSpPr>
              <a:spLocks noTextEdit="1"/>
            </xdr:cNvSpPr>
          </xdr:nvSpPr>
          <xdr:spPr>
            <a:xfrm>
              <a:off x="9525" y="1762126"/>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5999.691940277778" createdVersion="6" refreshedVersion="6" minRefreshableVersion="3" recordCount="10">
  <cacheSource type="worksheet">
    <worksheetSource ref="A1:J11" sheet="2021-2022"/>
  </cacheSource>
  <cacheFields count="10">
    <cacheField name="Reporter" numFmtId="0">
      <sharedItems count="5">
        <s v="Malawi"/>
        <s v="Tanzania"/>
        <s v="South Africa"/>
        <s v="Mozambique"/>
        <s v="Zambia"/>
      </sharedItems>
    </cacheField>
    <cacheField name="TradeFlow" numFmtId="0">
      <sharedItems/>
    </cacheField>
    <cacheField name="Product Description" numFmtId="0">
      <sharedItems/>
    </cacheField>
    <cacheField name="Year" numFmtId="0">
      <sharedItems containsSemiMixedTypes="0" containsString="0" containsNumber="1" containsInteger="1" minValue="2021" maxValue="2022" count="2">
        <n v="2021"/>
        <n v="2022"/>
      </sharedItems>
    </cacheField>
    <cacheField name="Partner" numFmtId="0">
      <sharedItems count="1">
        <s v=" World"/>
      </sharedItems>
    </cacheField>
    <cacheField name="Trade Value 1000USD" numFmtId="164">
      <sharedItems containsSemiMixedTypes="0" containsString="0" containsNumber="1" minValue="12304.87" maxValue="166431.79"/>
    </cacheField>
    <cacheField name="Quantity" numFmtId="165">
      <sharedItems containsSemiMixedTypes="0" containsString="0" containsNumber="1" containsInteger="1" minValue="18219000" maxValue="237267000"/>
    </cacheField>
    <cacheField name="Quantity Unit" numFmtId="0">
      <sharedItems/>
    </cacheField>
    <cacheField name="Trade Value in ZMW at 23:1" numFmtId="165">
      <sharedItems containsSemiMixedTypes="0" containsString="0" containsNumber="1" containsInteger="1" minValue="283012010" maxValue="3827931170"/>
    </cacheField>
    <cacheField name="Unit Price ZMW/KG" numFmtId="0">
      <sharedItems containsSemiMixedTypes="0" containsString="0" containsNumber="1" minValue="5.5090197243270911" maxValue="54.23757923799295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x v="0"/>
    <s v="Export"/>
    <s v="Soya beans"/>
    <x v="0"/>
    <x v="0"/>
    <n v="108071.23"/>
    <n v="45828710"/>
    <s v="Kg"/>
    <n v="2485638290"/>
    <n v="54.237579237992954"/>
  </r>
  <r>
    <x v="1"/>
    <s v="Export"/>
    <s v="Soya beans"/>
    <x v="0"/>
    <x v="0"/>
    <n v="75474.179999999993"/>
    <n v="108330000"/>
    <s v="Kg"/>
    <n v="1735906140"/>
    <n v="16.02424203821656"/>
  </r>
  <r>
    <x v="2"/>
    <s v="Export"/>
    <s v="Soya beans"/>
    <x v="0"/>
    <x v="0"/>
    <n v="26022.25"/>
    <n v="39320100"/>
    <s v="Kg"/>
    <n v="598511750"/>
    <n v="15.221521562763066"/>
  </r>
  <r>
    <x v="3"/>
    <s v="Export"/>
    <s v="Soya beans"/>
    <x v="0"/>
    <x v="0"/>
    <n v="23309.99"/>
    <n v="68812200"/>
    <s v="Kg"/>
    <n v="536129770"/>
    <n v="7.7912022868037933"/>
  </r>
  <r>
    <x v="4"/>
    <s v="Export"/>
    <s v="Soya beans"/>
    <x v="0"/>
    <x v="0"/>
    <n v="21540.01"/>
    <n v="33503200"/>
    <s v="Kg"/>
    <n v="495420230"/>
    <n v="14.787251068554646"/>
  </r>
  <r>
    <x v="2"/>
    <s v="Export"/>
    <s v="Soya beans"/>
    <x v="1"/>
    <x v="0"/>
    <n v="166431.79"/>
    <n v="237267000"/>
    <s v="Kg"/>
    <n v="3827931170"/>
    <n v="16.133432672895935"/>
  </r>
  <r>
    <x v="1"/>
    <s v="Export"/>
    <s v="Soya beans"/>
    <x v="1"/>
    <x v="0"/>
    <n v="32739.96"/>
    <n v="45503100"/>
    <s v="Kg"/>
    <n v="753019080"/>
    <n v="16.548742393375395"/>
  </r>
  <r>
    <x v="0"/>
    <s v="Export"/>
    <s v="Soya beans"/>
    <x v="1"/>
    <x v="0"/>
    <n v="24635.58"/>
    <n v="32320100"/>
    <s v="Kg"/>
    <n v="566618340"/>
    <n v="17.531453801194921"/>
  </r>
  <r>
    <x v="3"/>
    <s v="Export"/>
    <s v="Soya beans"/>
    <x v="1"/>
    <x v="0"/>
    <n v="18949.95"/>
    <n v="79115500"/>
    <s v="Kg"/>
    <n v="435848850"/>
    <n v="5.5090197243270911"/>
  </r>
  <r>
    <x v="4"/>
    <s v="Export"/>
    <s v="Soya beans"/>
    <x v="1"/>
    <x v="0"/>
    <n v="12304.87"/>
    <n v="18219000"/>
    <s v="Kg"/>
    <n v="283012010"/>
    <n v="15.5338937373072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0:B56" firstHeaderRow="1" firstDataRow="1" firstDataCol="1"/>
  <pivotFields count="10">
    <pivotField axis="axisRow" showAll="0">
      <items count="6">
        <item x="0"/>
        <item x="3"/>
        <item x="2"/>
        <item x="1"/>
        <item x="4"/>
        <item t="default"/>
      </items>
    </pivotField>
    <pivotField showAll="0"/>
    <pivotField showAll="0"/>
    <pivotField axis="axisRow" showAll="0">
      <items count="3">
        <item x="0"/>
        <item x="1"/>
        <item t="default"/>
      </items>
    </pivotField>
    <pivotField showAll="0">
      <items count="2">
        <item x="0"/>
        <item t="default"/>
      </items>
    </pivotField>
    <pivotField numFmtId="164" showAll="0"/>
    <pivotField numFmtId="165" showAll="0"/>
    <pivotField showAll="0"/>
    <pivotField dataField="1" numFmtId="165" showAll="0"/>
    <pivotField showAll="0"/>
  </pivotFields>
  <rowFields count="2">
    <field x="0"/>
    <field x="3"/>
  </rowFields>
  <rowItems count="16">
    <i>
      <x/>
    </i>
    <i r="1">
      <x/>
    </i>
    <i r="1">
      <x v="1"/>
    </i>
    <i>
      <x v="1"/>
    </i>
    <i r="1">
      <x/>
    </i>
    <i r="1">
      <x v="1"/>
    </i>
    <i>
      <x v="2"/>
    </i>
    <i r="1">
      <x/>
    </i>
    <i r="1">
      <x v="1"/>
    </i>
    <i>
      <x v="3"/>
    </i>
    <i r="1">
      <x/>
    </i>
    <i r="1">
      <x v="1"/>
    </i>
    <i>
      <x v="4"/>
    </i>
    <i r="1">
      <x/>
    </i>
    <i r="1">
      <x v="1"/>
    </i>
    <i t="grand">
      <x/>
    </i>
  </rowItems>
  <colItems count="1">
    <i/>
  </colItems>
  <dataFields count="1">
    <dataField name="Sum of Trade Value in ZMW at 23:1" fld="8" baseField="0" baseItem="0"/>
  </dataFields>
  <chartFormats count="2">
    <chartFormat chart="4"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1:B37" firstHeaderRow="1" firstDataRow="1" firstDataCol="1"/>
  <pivotFields count="10">
    <pivotField axis="axisRow" showAll="0">
      <items count="6">
        <item x="0"/>
        <item x="3"/>
        <item x="2"/>
        <item x="1"/>
        <item x="4"/>
        <item t="default"/>
      </items>
    </pivotField>
    <pivotField showAll="0"/>
    <pivotField showAll="0"/>
    <pivotField axis="axisRow" showAll="0">
      <items count="3">
        <item x="0"/>
        <item x="1"/>
        <item t="default"/>
      </items>
    </pivotField>
    <pivotField showAll="0">
      <items count="2">
        <item x="0"/>
        <item t="default"/>
      </items>
    </pivotField>
    <pivotField numFmtId="164" showAll="0"/>
    <pivotField dataField="1" numFmtId="165" showAll="0"/>
    <pivotField showAll="0"/>
    <pivotField numFmtId="165" showAll="0"/>
    <pivotField showAll="0"/>
  </pivotFields>
  <rowFields count="2">
    <field x="0"/>
    <field x="3"/>
  </rowFields>
  <rowItems count="16">
    <i>
      <x/>
    </i>
    <i r="1">
      <x/>
    </i>
    <i r="1">
      <x v="1"/>
    </i>
    <i>
      <x v="1"/>
    </i>
    <i r="1">
      <x/>
    </i>
    <i r="1">
      <x v="1"/>
    </i>
    <i>
      <x v="2"/>
    </i>
    <i r="1">
      <x/>
    </i>
    <i r="1">
      <x v="1"/>
    </i>
    <i>
      <x v="3"/>
    </i>
    <i r="1">
      <x/>
    </i>
    <i r="1">
      <x v="1"/>
    </i>
    <i>
      <x v="4"/>
    </i>
    <i r="1">
      <x/>
    </i>
    <i r="1">
      <x v="1"/>
    </i>
    <i t="grand">
      <x/>
    </i>
  </rowItems>
  <colItems count="1">
    <i/>
  </colItems>
  <dataFields count="1">
    <dataField name="Sum of Quantity" fld="6"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17" firstHeaderRow="1" firstDataRow="1" firstDataCol="1"/>
  <pivotFields count="10">
    <pivotField axis="axisRow" showAll="0">
      <items count="6">
        <item x="0"/>
        <item x="3"/>
        <item x="2"/>
        <item x="1"/>
        <item x="4"/>
        <item t="default"/>
      </items>
    </pivotField>
    <pivotField showAll="0"/>
    <pivotField showAll="0"/>
    <pivotField axis="axisRow" showAll="0">
      <items count="3">
        <item x="0"/>
        <item x="1"/>
        <item t="default"/>
      </items>
    </pivotField>
    <pivotField showAll="0">
      <items count="2">
        <item x="0"/>
        <item t="default"/>
      </items>
    </pivotField>
    <pivotField numFmtId="164" showAll="0"/>
    <pivotField numFmtId="165" showAll="0"/>
    <pivotField showAll="0"/>
    <pivotField numFmtId="165" showAll="0"/>
    <pivotField dataField="1" showAll="0"/>
  </pivotFields>
  <rowFields count="2">
    <field x="0"/>
    <field x="3"/>
  </rowFields>
  <rowItems count="16">
    <i>
      <x/>
    </i>
    <i r="1">
      <x/>
    </i>
    <i r="1">
      <x v="1"/>
    </i>
    <i>
      <x v="1"/>
    </i>
    <i r="1">
      <x/>
    </i>
    <i r="1">
      <x v="1"/>
    </i>
    <i>
      <x v="2"/>
    </i>
    <i r="1">
      <x/>
    </i>
    <i r="1">
      <x v="1"/>
    </i>
    <i>
      <x v="3"/>
    </i>
    <i r="1">
      <x/>
    </i>
    <i r="1">
      <x v="1"/>
    </i>
    <i>
      <x v="4"/>
    </i>
    <i r="1">
      <x/>
    </i>
    <i r="1">
      <x v="1"/>
    </i>
    <i t="grand">
      <x/>
    </i>
  </rowItems>
  <colItems count="1">
    <i/>
  </colItems>
  <dataFields count="1">
    <dataField name="Sum of Unit Price ZMW/KG" fld="9"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porter" sourceName="Reporter">
  <pivotTables>
    <pivotTable tabId="3" name="PivotTable1"/>
    <pivotTable tabId="3" name="PivotTable2"/>
    <pivotTable tabId="3" name="PivotTable3"/>
  </pivotTables>
  <data>
    <tabular pivotCacheId="1">
      <items count="5">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Reporter" cache="Slicer_Reporter" caption="Reporter" rowHeight="241300"/>
</slicers>
</file>

<file path=xl/tables/table1.xml><?xml version="1.0" encoding="utf-8"?>
<table xmlns="http://schemas.openxmlformats.org/spreadsheetml/2006/main" id="1" name="Table1" displayName="Table1" ref="A1:J11" totalsRowShown="0" headerRowDxfId="0">
  <autoFilter ref="A1:J11"/>
  <tableColumns count="10">
    <tableColumn id="1" name="Reporter"/>
    <tableColumn id="2" name="TradeFlow"/>
    <tableColumn id="3" name="Product Description"/>
    <tableColumn id="4" name="Year"/>
    <tableColumn id="5" name="Partner"/>
    <tableColumn id="6" name="Trade Value 1000USD" dataDxfId="3"/>
    <tableColumn id="7" name="Quantity" dataDxfId="2"/>
    <tableColumn id="8" name="Quantity Unit"/>
    <tableColumn id="9" name="Trade Value in ZMW at 23:1" dataDxfId="1">
      <calculatedColumnFormula>F2*1000*23</calculatedColumnFormula>
    </tableColumn>
    <tableColumn id="10" name="Unit Price ZMW/KG">
      <calculatedColumnFormula>I2/G2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tabSelected="1" topLeftCell="B1" workbookViewId="0">
      <selection activeCell="F18" sqref="F18"/>
    </sheetView>
  </sheetViews>
  <sheetFormatPr defaultRowHeight="15" x14ac:dyDescent="0.25"/>
  <cols>
    <col min="1" max="1" width="26" bestFit="1" customWidth="1"/>
    <col min="2" max="2" width="12.42578125" customWidth="1"/>
    <col min="3" max="3" width="20.5703125" customWidth="1"/>
    <col min="4" max="4" width="7.140625" customWidth="1"/>
    <col min="5" max="5" width="9.7109375" customWidth="1"/>
    <col min="6" max="6" width="21.85546875" customWidth="1"/>
    <col min="7" max="7" width="17.7109375" customWidth="1"/>
    <col min="8" max="8" width="15.140625" customWidth="1"/>
    <col min="9" max="9" width="27.28515625" customWidth="1"/>
    <col min="10" max="10" width="20.5703125" customWidth="1"/>
  </cols>
  <sheetData>
    <row r="1" spans="1:10" s="2" customFormat="1" x14ac:dyDescent="0.25">
      <c r="A1" s="2" t="s">
        <v>0</v>
      </c>
      <c r="B1" s="2" t="s">
        <v>1</v>
      </c>
      <c r="C1" s="2" t="s">
        <v>2</v>
      </c>
      <c r="D1" s="2" t="s">
        <v>3</v>
      </c>
      <c r="E1" s="2" t="s">
        <v>4</v>
      </c>
      <c r="F1" s="2" t="s">
        <v>5</v>
      </c>
      <c r="G1" s="2" t="s">
        <v>6</v>
      </c>
      <c r="H1" s="2" t="s">
        <v>7</v>
      </c>
      <c r="I1" s="2" t="s">
        <v>17</v>
      </c>
      <c r="J1" s="2" t="s">
        <v>18</v>
      </c>
    </row>
    <row r="2" spans="1:10" x14ac:dyDescent="0.25">
      <c r="A2" t="s">
        <v>12</v>
      </c>
      <c r="B2" t="s">
        <v>8</v>
      </c>
      <c r="C2" t="s">
        <v>9</v>
      </c>
      <c r="D2">
        <v>2021</v>
      </c>
      <c r="E2" t="s">
        <v>10</v>
      </c>
      <c r="F2" s="1">
        <v>108071.23</v>
      </c>
      <c r="G2" s="3">
        <v>45828710</v>
      </c>
      <c r="H2" t="s">
        <v>11</v>
      </c>
      <c r="I2" s="3">
        <f>F2*1000*23</f>
        <v>2485638290</v>
      </c>
      <c r="J2">
        <f>I2/G2</f>
        <v>54.237579237992954</v>
      </c>
    </row>
    <row r="3" spans="1:10" x14ac:dyDescent="0.25">
      <c r="A3" t="s">
        <v>13</v>
      </c>
      <c r="B3" t="s">
        <v>8</v>
      </c>
      <c r="C3" t="s">
        <v>9</v>
      </c>
      <c r="D3">
        <v>2021</v>
      </c>
      <c r="E3" t="s">
        <v>10</v>
      </c>
      <c r="F3" s="1">
        <v>75474.179999999993</v>
      </c>
      <c r="G3" s="3">
        <v>108330000</v>
      </c>
      <c r="H3" t="s">
        <v>11</v>
      </c>
      <c r="I3" s="3">
        <f t="shared" ref="I3:I11" si="0">F3*1000*23</f>
        <v>1735906140</v>
      </c>
      <c r="J3">
        <f t="shared" ref="J3:J11" si="1">I3/G3</f>
        <v>16.02424203821656</v>
      </c>
    </row>
    <row r="4" spans="1:10" x14ac:dyDescent="0.25">
      <c r="A4" t="s">
        <v>14</v>
      </c>
      <c r="B4" t="s">
        <v>8</v>
      </c>
      <c r="C4" t="s">
        <v>9</v>
      </c>
      <c r="D4">
        <v>2021</v>
      </c>
      <c r="E4" t="s">
        <v>10</v>
      </c>
      <c r="F4" s="1">
        <v>26022.25</v>
      </c>
      <c r="G4" s="3">
        <v>39320100</v>
      </c>
      <c r="H4" t="s">
        <v>11</v>
      </c>
      <c r="I4" s="3">
        <f t="shared" si="0"/>
        <v>598511750</v>
      </c>
      <c r="J4">
        <f t="shared" si="1"/>
        <v>15.221521562763066</v>
      </c>
    </row>
    <row r="5" spans="1:10" x14ac:dyDescent="0.25">
      <c r="A5" t="s">
        <v>15</v>
      </c>
      <c r="B5" t="s">
        <v>8</v>
      </c>
      <c r="C5" t="s">
        <v>9</v>
      </c>
      <c r="D5">
        <v>2021</v>
      </c>
      <c r="E5" t="s">
        <v>10</v>
      </c>
      <c r="F5" s="1">
        <v>23309.99</v>
      </c>
      <c r="G5" s="3">
        <v>68812200</v>
      </c>
      <c r="H5" t="s">
        <v>11</v>
      </c>
      <c r="I5" s="3">
        <f t="shared" si="0"/>
        <v>536129770</v>
      </c>
      <c r="J5">
        <f t="shared" si="1"/>
        <v>7.7912022868037933</v>
      </c>
    </row>
    <row r="6" spans="1:10" x14ac:dyDescent="0.25">
      <c r="A6" t="s">
        <v>16</v>
      </c>
      <c r="B6" t="s">
        <v>8</v>
      </c>
      <c r="C6" t="s">
        <v>9</v>
      </c>
      <c r="D6">
        <v>2021</v>
      </c>
      <c r="E6" t="s">
        <v>10</v>
      </c>
      <c r="F6" s="1">
        <v>21540.01</v>
      </c>
      <c r="G6" s="3">
        <v>33503200</v>
      </c>
      <c r="H6" t="s">
        <v>11</v>
      </c>
      <c r="I6" s="3">
        <f t="shared" si="0"/>
        <v>495420230</v>
      </c>
      <c r="J6">
        <f t="shared" si="1"/>
        <v>14.787251068554646</v>
      </c>
    </row>
    <row r="7" spans="1:10" x14ac:dyDescent="0.25">
      <c r="A7" t="s">
        <v>14</v>
      </c>
      <c r="B7" t="s">
        <v>8</v>
      </c>
      <c r="C7" t="s">
        <v>9</v>
      </c>
      <c r="D7">
        <v>2022</v>
      </c>
      <c r="E7" t="s">
        <v>10</v>
      </c>
      <c r="F7" s="1">
        <v>166431.79</v>
      </c>
      <c r="G7" s="3">
        <v>237267000</v>
      </c>
      <c r="H7" t="s">
        <v>11</v>
      </c>
      <c r="I7" s="3">
        <f t="shared" si="0"/>
        <v>3827931170</v>
      </c>
      <c r="J7">
        <f t="shared" si="1"/>
        <v>16.133432672895935</v>
      </c>
    </row>
    <row r="8" spans="1:10" x14ac:dyDescent="0.25">
      <c r="A8" t="s">
        <v>13</v>
      </c>
      <c r="B8" t="s">
        <v>8</v>
      </c>
      <c r="C8" t="s">
        <v>9</v>
      </c>
      <c r="D8">
        <v>2022</v>
      </c>
      <c r="E8" t="s">
        <v>10</v>
      </c>
      <c r="F8" s="1">
        <v>32739.96</v>
      </c>
      <c r="G8" s="3">
        <v>45503100</v>
      </c>
      <c r="H8" t="s">
        <v>11</v>
      </c>
      <c r="I8" s="3">
        <f t="shared" si="0"/>
        <v>753019080</v>
      </c>
      <c r="J8">
        <f t="shared" si="1"/>
        <v>16.548742393375395</v>
      </c>
    </row>
    <row r="9" spans="1:10" x14ac:dyDescent="0.25">
      <c r="A9" t="s">
        <v>12</v>
      </c>
      <c r="B9" t="s">
        <v>8</v>
      </c>
      <c r="C9" t="s">
        <v>9</v>
      </c>
      <c r="D9">
        <v>2022</v>
      </c>
      <c r="E9" t="s">
        <v>10</v>
      </c>
      <c r="F9" s="1">
        <v>24635.58</v>
      </c>
      <c r="G9" s="3">
        <v>32320100</v>
      </c>
      <c r="H9" t="s">
        <v>11</v>
      </c>
      <c r="I9" s="3">
        <f t="shared" si="0"/>
        <v>566618340</v>
      </c>
      <c r="J9">
        <f t="shared" si="1"/>
        <v>17.531453801194921</v>
      </c>
    </row>
    <row r="10" spans="1:10" x14ac:dyDescent="0.25">
      <c r="A10" t="s">
        <v>15</v>
      </c>
      <c r="B10" t="s">
        <v>8</v>
      </c>
      <c r="C10" t="s">
        <v>9</v>
      </c>
      <c r="D10">
        <v>2022</v>
      </c>
      <c r="E10" t="s">
        <v>10</v>
      </c>
      <c r="F10" s="1">
        <v>18949.95</v>
      </c>
      <c r="G10" s="3">
        <v>79115500</v>
      </c>
      <c r="H10" t="s">
        <v>11</v>
      </c>
      <c r="I10" s="3">
        <f t="shared" si="0"/>
        <v>435848850</v>
      </c>
      <c r="J10">
        <f t="shared" si="1"/>
        <v>5.5090197243270911</v>
      </c>
    </row>
    <row r="11" spans="1:10" x14ac:dyDescent="0.25">
      <c r="A11" t="s">
        <v>16</v>
      </c>
      <c r="B11" t="s">
        <v>8</v>
      </c>
      <c r="C11" t="s">
        <v>9</v>
      </c>
      <c r="D11">
        <v>2022</v>
      </c>
      <c r="E11" t="s">
        <v>10</v>
      </c>
      <c r="F11" s="1">
        <v>12304.87</v>
      </c>
      <c r="G11" s="3">
        <v>18219000</v>
      </c>
      <c r="H11" t="s">
        <v>11</v>
      </c>
      <c r="I11" s="3">
        <f t="shared" si="0"/>
        <v>283012010</v>
      </c>
      <c r="J11">
        <f t="shared" si="1"/>
        <v>15.533893737307206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6"/>
  <sheetViews>
    <sheetView topLeftCell="A37" workbookViewId="0">
      <selection activeCell="J14" sqref="J14"/>
    </sheetView>
  </sheetViews>
  <sheetFormatPr defaultRowHeight="15" x14ac:dyDescent="0.25"/>
  <cols>
    <col min="1" max="1" width="14.5703125" customWidth="1"/>
    <col min="2" max="2" width="32.42578125" customWidth="1"/>
    <col min="3" max="3" width="32.42578125" bestFit="1" customWidth="1"/>
  </cols>
  <sheetData>
    <row r="1" spans="1:2" x14ac:dyDescent="0.25">
      <c r="A1" s="4" t="s">
        <v>19</v>
      </c>
      <c r="B1" t="s">
        <v>21</v>
      </c>
    </row>
    <row r="2" spans="1:2" x14ac:dyDescent="0.25">
      <c r="A2" s="5" t="s">
        <v>12</v>
      </c>
      <c r="B2" s="6">
        <v>71.769033039187875</v>
      </c>
    </row>
    <row r="3" spans="1:2" x14ac:dyDescent="0.25">
      <c r="A3" s="7">
        <v>2021</v>
      </c>
      <c r="B3" s="6">
        <v>54.237579237992954</v>
      </c>
    </row>
    <row r="4" spans="1:2" x14ac:dyDescent="0.25">
      <c r="A4" s="7">
        <v>2022</v>
      </c>
      <c r="B4" s="6">
        <v>17.531453801194921</v>
      </c>
    </row>
    <row r="5" spans="1:2" x14ac:dyDescent="0.25">
      <c r="A5" s="5" t="s">
        <v>15</v>
      </c>
      <c r="B5" s="6">
        <v>13.300222011130884</v>
      </c>
    </row>
    <row r="6" spans="1:2" x14ac:dyDescent="0.25">
      <c r="A6" s="7">
        <v>2021</v>
      </c>
      <c r="B6" s="6">
        <v>7.7912022868037933</v>
      </c>
    </row>
    <row r="7" spans="1:2" x14ac:dyDescent="0.25">
      <c r="A7" s="7">
        <v>2022</v>
      </c>
      <c r="B7" s="6">
        <v>5.5090197243270911</v>
      </c>
    </row>
    <row r="8" spans="1:2" x14ac:dyDescent="0.25">
      <c r="A8" s="5" t="s">
        <v>14</v>
      </c>
      <c r="B8" s="6">
        <v>31.354954235659001</v>
      </c>
    </row>
    <row r="9" spans="1:2" x14ac:dyDescent="0.25">
      <c r="A9" s="7">
        <v>2021</v>
      </c>
      <c r="B9" s="6">
        <v>15.221521562763066</v>
      </c>
    </row>
    <row r="10" spans="1:2" x14ac:dyDescent="0.25">
      <c r="A10" s="7">
        <v>2022</v>
      </c>
      <c r="B10" s="6">
        <v>16.133432672895935</v>
      </c>
    </row>
    <row r="11" spans="1:2" x14ac:dyDescent="0.25">
      <c r="A11" s="5" t="s">
        <v>13</v>
      </c>
      <c r="B11" s="6">
        <v>32.572984431591955</v>
      </c>
    </row>
    <row r="12" spans="1:2" x14ac:dyDescent="0.25">
      <c r="A12" s="7">
        <v>2021</v>
      </c>
      <c r="B12" s="6">
        <v>16.02424203821656</v>
      </c>
    </row>
    <row r="13" spans="1:2" x14ac:dyDescent="0.25">
      <c r="A13" s="7">
        <v>2022</v>
      </c>
      <c r="B13" s="6">
        <v>16.548742393375395</v>
      </c>
    </row>
    <row r="14" spans="1:2" x14ac:dyDescent="0.25">
      <c r="A14" s="5" t="s">
        <v>16</v>
      </c>
      <c r="B14" s="6">
        <v>30.321144805861852</v>
      </c>
    </row>
    <row r="15" spans="1:2" x14ac:dyDescent="0.25">
      <c r="A15" s="7">
        <v>2021</v>
      </c>
      <c r="B15" s="6">
        <v>14.787251068554646</v>
      </c>
    </row>
    <row r="16" spans="1:2" x14ac:dyDescent="0.25">
      <c r="A16" s="7">
        <v>2022</v>
      </c>
      <c r="B16" s="6">
        <v>15.533893737307206</v>
      </c>
    </row>
    <row r="17" spans="1:2" x14ac:dyDescent="0.25">
      <c r="A17" s="5" t="s">
        <v>20</v>
      </c>
      <c r="B17" s="6">
        <v>179.31833852343155</v>
      </c>
    </row>
    <row r="21" spans="1:2" x14ac:dyDescent="0.25">
      <c r="A21" s="4" t="s">
        <v>19</v>
      </c>
      <c r="B21" t="s">
        <v>22</v>
      </c>
    </row>
    <row r="22" spans="1:2" x14ac:dyDescent="0.25">
      <c r="A22" s="5" t="s">
        <v>12</v>
      </c>
      <c r="B22" s="6">
        <v>78148810</v>
      </c>
    </row>
    <row r="23" spans="1:2" x14ac:dyDescent="0.25">
      <c r="A23" s="7">
        <v>2021</v>
      </c>
      <c r="B23" s="6">
        <v>45828710</v>
      </c>
    </row>
    <row r="24" spans="1:2" x14ac:dyDescent="0.25">
      <c r="A24" s="7">
        <v>2022</v>
      </c>
      <c r="B24" s="6">
        <v>32320100</v>
      </c>
    </row>
    <row r="25" spans="1:2" x14ac:dyDescent="0.25">
      <c r="A25" s="5" t="s">
        <v>15</v>
      </c>
      <c r="B25" s="6">
        <v>147927700</v>
      </c>
    </row>
    <row r="26" spans="1:2" x14ac:dyDescent="0.25">
      <c r="A26" s="7">
        <v>2021</v>
      </c>
      <c r="B26" s="6">
        <v>68812200</v>
      </c>
    </row>
    <row r="27" spans="1:2" x14ac:dyDescent="0.25">
      <c r="A27" s="7">
        <v>2022</v>
      </c>
      <c r="B27" s="6">
        <v>79115500</v>
      </c>
    </row>
    <row r="28" spans="1:2" x14ac:dyDescent="0.25">
      <c r="A28" s="5" t="s">
        <v>14</v>
      </c>
      <c r="B28" s="6">
        <v>276587100</v>
      </c>
    </row>
    <row r="29" spans="1:2" x14ac:dyDescent="0.25">
      <c r="A29" s="7">
        <v>2021</v>
      </c>
      <c r="B29" s="6">
        <v>39320100</v>
      </c>
    </row>
    <row r="30" spans="1:2" x14ac:dyDescent="0.25">
      <c r="A30" s="7">
        <v>2022</v>
      </c>
      <c r="B30" s="6">
        <v>237267000</v>
      </c>
    </row>
    <row r="31" spans="1:2" x14ac:dyDescent="0.25">
      <c r="A31" s="5" t="s">
        <v>13</v>
      </c>
      <c r="B31" s="6">
        <v>153833100</v>
      </c>
    </row>
    <row r="32" spans="1:2" x14ac:dyDescent="0.25">
      <c r="A32" s="7">
        <v>2021</v>
      </c>
      <c r="B32" s="6">
        <v>108330000</v>
      </c>
    </row>
    <row r="33" spans="1:2" x14ac:dyDescent="0.25">
      <c r="A33" s="7">
        <v>2022</v>
      </c>
      <c r="B33" s="6">
        <v>45503100</v>
      </c>
    </row>
    <row r="34" spans="1:2" x14ac:dyDescent="0.25">
      <c r="A34" s="5" t="s">
        <v>16</v>
      </c>
      <c r="B34" s="6">
        <v>51722200</v>
      </c>
    </row>
    <row r="35" spans="1:2" x14ac:dyDescent="0.25">
      <c r="A35" s="7">
        <v>2021</v>
      </c>
      <c r="B35" s="6">
        <v>33503200</v>
      </c>
    </row>
    <row r="36" spans="1:2" x14ac:dyDescent="0.25">
      <c r="A36" s="7">
        <v>2022</v>
      </c>
      <c r="B36" s="6">
        <v>18219000</v>
      </c>
    </row>
    <row r="37" spans="1:2" x14ac:dyDescent="0.25">
      <c r="A37" s="5" t="s">
        <v>20</v>
      </c>
      <c r="B37" s="6">
        <v>708218910</v>
      </c>
    </row>
    <row r="40" spans="1:2" x14ac:dyDescent="0.25">
      <c r="A40" s="4" t="s">
        <v>19</v>
      </c>
      <c r="B40" t="s">
        <v>23</v>
      </c>
    </row>
    <row r="41" spans="1:2" x14ac:dyDescent="0.25">
      <c r="A41" s="5" t="s">
        <v>12</v>
      </c>
      <c r="B41" s="6">
        <v>3052256630</v>
      </c>
    </row>
    <row r="42" spans="1:2" x14ac:dyDescent="0.25">
      <c r="A42" s="7">
        <v>2021</v>
      </c>
      <c r="B42" s="6">
        <v>2485638290</v>
      </c>
    </row>
    <row r="43" spans="1:2" x14ac:dyDescent="0.25">
      <c r="A43" s="7">
        <v>2022</v>
      </c>
      <c r="B43" s="6">
        <v>566618340</v>
      </c>
    </row>
    <row r="44" spans="1:2" x14ac:dyDescent="0.25">
      <c r="A44" s="5" t="s">
        <v>15</v>
      </c>
      <c r="B44" s="6">
        <v>971978620</v>
      </c>
    </row>
    <row r="45" spans="1:2" x14ac:dyDescent="0.25">
      <c r="A45" s="7">
        <v>2021</v>
      </c>
      <c r="B45" s="6">
        <v>536129770</v>
      </c>
    </row>
    <row r="46" spans="1:2" x14ac:dyDescent="0.25">
      <c r="A46" s="7">
        <v>2022</v>
      </c>
      <c r="B46" s="6">
        <v>435848850</v>
      </c>
    </row>
    <row r="47" spans="1:2" x14ac:dyDescent="0.25">
      <c r="A47" s="5" t="s">
        <v>14</v>
      </c>
      <c r="B47" s="6">
        <v>4426442920</v>
      </c>
    </row>
    <row r="48" spans="1:2" x14ac:dyDescent="0.25">
      <c r="A48" s="7">
        <v>2021</v>
      </c>
      <c r="B48" s="6">
        <v>598511750</v>
      </c>
    </row>
    <row r="49" spans="1:2" x14ac:dyDescent="0.25">
      <c r="A49" s="7">
        <v>2022</v>
      </c>
      <c r="B49" s="6">
        <v>3827931170</v>
      </c>
    </row>
    <row r="50" spans="1:2" x14ac:dyDescent="0.25">
      <c r="A50" s="5" t="s">
        <v>13</v>
      </c>
      <c r="B50" s="6">
        <v>2488925220</v>
      </c>
    </row>
    <row r="51" spans="1:2" x14ac:dyDescent="0.25">
      <c r="A51" s="7">
        <v>2021</v>
      </c>
      <c r="B51" s="6">
        <v>1735906140</v>
      </c>
    </row>
    <row r="52" spans="1:2" x14ac:dyDescent="0.25">
      <c r="A52" s="7">
        <v>2022</v>
      </c>
      <c r="B52" s="6">
        <v>753019080</v>
      </c>
    </row>
    <row r="53" spans="1:2" x14ac:dyDescent="0.25">
      <c r="A53" s="5" t="s">
        <v>16</v>
      </c>
      <c r="B53" s="6">
        <v>778432240</v>
      </c>
    </row>
    <row r="54" spans="1:2" x14ac:dyDescent="0.25">
      <c r="A54" s="7">
        <v>2021</v>
      </c>
      <c r="B54" s="6">
        <v>495420230</v>
      </c>
    </row>
    <row r="55" spans="1:2" x14ac:dyDescent="0.25">
      <c r="A55" s="7">
        <v>2022</v>
      </c>
      <c r="B55" s="6">
        <v>283012010</v>
      </c>
    </row>
    <row r="56" spans="1:2" x14ac:dyDescent="0.25">
      <c r="A56" s="5" t="s">
        <v>20</v>
      </c>
      <c r="B56" s="6">
        <v>11718035630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Views>
    <sheetView showGridLines="0" workbookViewId="0">
      <selection activeCell="N33" sqref="N33"/>
    </sheetView>
  </sheetViews>
  <sheetFormatPr defaultRowHeight="15" x14ac:dyDescent="0.25"/>
  <sheetData>
    <row r="1" spans="1:13" x14ac:dyDescent="0.25">
      <c r="A1" s="8" t="s">
        <v>24</v>
      </c>
      <c r="B1" s="9"/>
      <c r="C1" s="9"/>
      <c r="D1" s="9"/>
      <c r="E1" s="9"/>
      <c r="F1" s="9"/>
      <c r="G1" s="9"/>
      <c r="H1" s="9"/>
      <c r="I1" s="9"/>
      <c r="J1" s="9"/>
      <c r="K1" s="9"/>
      <c r="L1" s="9"/>
      <c r="M1" s="9"/>
    </row>
    <row r="2" spans="1:13" x14ac:dyDescent="0.25">
      <c r="A2" s="9"/>
      <c r="B2" s="9"/>
      <c r="C2" s="9"/>
      <c r="D2" s="9"/>
      <c r="E2" s="9"/>
      <c r="F2" s="9"/>
      <c r="G2" s="9"/>
      <c r="H2" s="9"/>
      <c r="I2" s="9"/>
      <c r="J2" s="9"/>
      <c r="K2" s="9"/>
      <c r="L2" s="9"/>
      <c r="M2" s="9"/>
    </row>
    <row r="3" spans="1:13" x14ac:dyDescent="0.25">
      <c r="A3" s="9"/>
      <c r="B3" s="9"/>
      <c r="C3" s="9"/>
      <c r="D3" s="9"/>
      <c r="E3" s="9"/>
      <c r="F3" s="9"/>
      <c r="G3" s="9"/>
      <c r="H3" s="9"/>
      <c r="I3" s="9"/>
      <c r="J3" s="9"/>
      <c r="K3" s="9"/>
      <c r="L3" s="9"/>
      <c r="M3" s="9"/>
    </row>
    <row r="4" spans="1:13" x14ac:dyDescent="0.25">
      <c r="A4" s="9"/>
      <c r="B4" s="9"/>
      <c r="C4" s="9"/>
      <c r="D4" s="9"/>
      <c r="E4" s="9"/>
      <c r="F4" s="9"/>
      <c r="G4" s="9"/>
      <c r="H4" s="9"/>
      <c r="I4" s="9"/>
      <c r="J4" s="9"/>
      <c r="K4" s="9"/>
      <c r="L4" s="9"/>
      <c r="M4" s="9"/>
    </row>
  </sheetData>
  <mergeCells count="1">
    <mergeCell ref="A1:M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2021-2022</vt:lpstr>
      <vt:lpstr>pivot tales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2025-12-08T14:03:09Z</dcterms:created>
  <dcterms:modified xsi:type="dcterms:W3CDTF">2025-12-19T11:08:36Z</dcterms:modified>
</cp:coreProperties>
</file>