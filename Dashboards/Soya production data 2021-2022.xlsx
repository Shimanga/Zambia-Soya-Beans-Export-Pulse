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CER\Documents\Data Analysis project folder\Soya Beans Export\"/>
    </mc:Choice>
  </mc:AlternateContent>
  <bookViews>
    <workbookView xWindow="0" yWindow="0" windowWidth="20490" windowHeight="6930" activeTab="2"/>
  </bookViews>
  <sheets>
    <sheet name="Soya production data" sheetId="1" r:id="rId1"/>
    <sheet name="pivot tables" sheetId="4" r:id="rId2"/>
    <sheet name="Dashboard" sheetId="5" r:id="rId3"/>
  </sheets>
  <definedNames>
    <definedName name="_xlnm._FilterDatabase" localSheetId="0" hidden="1">'Soya production data'!$A$1:$J$72</definedName>
    <definedName name="Slicer_District">#N/A</definedName>
  </definedNames>
  <calcPr calcId="162913"/>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B4" i="1" s="1"/>
  <c r="B5" i="1" s="1"/>
  <c r="B6" i="1" s="1"/>
  <c r="B7" i="1" s="1"/>
  <c r="B8" i="1" s="1"/>
  <c r="B10" i="1"/>
  <c r="B11" i="1" s="1"/>
  <c r="B12" i="1" s="1"/>
  <c r="B13" i="1" s="1"/>
  <c r="B14" i="1" s="1"/>
  <c r="B15" i="1" s="1"/>
  <c r="B16" i="1" s="1"/>
  <c r="B17" i="1" s="1"/>
  <c r="B18" i="1" s="1"/>
  <c r="B20" i="1"/>
  <c r="B21" i="1"/>
  <c r="B22" i="1" s="1"/>
  <c r="B23" i="1" s="1"/>
  <c r="B24" i="1" s="1"/>
  <c r="B25" i="1" s="1"/>
  <c r="B27" i="1"/>
  <c r="B28" i="1"/>
  <c r="B29" i="1" s="1"/>
  <c r="B30" i="1" s="1"/>
  <c r="B31" i="1" s="1"/>
  <c r="B32" i="1" s="1"/>
  <c r="B34" i="1"/>
  <c r="B35" i="1"/>
  <c r="B36" i="1" s="1"/>
  <c r="B38" i="1"/>
  <c r="B39" i="1" s="1"/>
  <c r="B40" i="1" s="1"/>
  <c r="B41" i="1" s="1"/>
  <c r="B42" i="1" s="1"/>
  <c r="B44" i="1"/>
  <c r="B45" i="1"/>
  <c r="B46" i="1" s="1"/>
  <c r="B47" i="1" s="1"/>
  <c r="B48" i="1" s="1"/>
  <c r="B49" i="1" s="1"/>
  <c r="B50" i="1" s="1"/>
  <c r="B51" i="1" s="1"/>
  <c r="B61" i="1"/>
  <c r="B62" i="1" s="1"/>
  <c r="B63" i="1" s="1"/>
  <c r="B64" i="1" s="1"/>
  <c r="B65" i="1" s="1"/>
  <c r="B66" i="1" s="1"/>
  <c r="B67" i="1" s="1"/>
  <c r="B68" i="1" s="1"/>
  <c r="B69" i="1" s="1"/>
  <c r="B71" i="1"/>
  <c r="B72" i="1"/>
</calcChain>
</file>

<file path=xl/sharedStrings.xml><?xml version="1.0" encoding="utf-8"?>
<sst xmlns="http://schemas.openxmlformats.org/spreadsheetml/2006/main" count="167" uniqueCount="106">
  <si>
    <r>
      <rPr>
        <sz val="10"/>
        <color rgb="FF231F20"/>
        <rFont val="Tahoma"/>
        <family val="2"/>
      </rPr>
      <t>Soya beans</t>
    </r>
  </si>
  <si>
    <r>
      <rPr>
        <sz val="10"/>
        <color rgb="FF231F20"/>
        <rFont val="Tahoma"/>
        <family val="2"/>
      </rPr>
      <t>Central</t>
    </r>
  </si>
  <si>
    <r>
      <rPr>
        <sz val="10"/>
        <color rgb="FF231F20"/>
        <rFont val="Tahoma"/>
        <family val="2"/>
      </rPr>
      <t>Chibombo</t>
    </r>
  </si>
  <si>
    <r>
      <rPr>
        <sz val="10"/>
        <color rgb="FF231F20"/>
        <rFont val="Tahoma"/>
        <family val="2"/>
      </rPr>
      <t>Kabwe</t>
    </r>
  </si>
  <si>
    <r>
      <rPr>
        <sz val="10"/>
        <color rgb="FF231F20"/>
        <rFont val="Tahoma"/>
        <family val="2"/>
      </rPr>
      <t>Kapiri Mposhi</t>
    </r>
  </si>
  <si>
    <r>
      <rPr>
        <sz val="10"/>
        <color rgb="FF231F20"/>
        <rFont val="Tahoma"/>
        <family val="2"/>
      </rPr>
      <t>Mkushi</t>
    </r>
  </si>
  <si>
    <r>
      <rPr>
        <sz val="10"/>
        <color rgb="FF231F20"/>
        <rFont val="Tahoma"/>
        <family val="2"/>
      </rPr>
      <t>Mumbwa</t>
    </r>
  </si>
  <si>
    <r>
      <rPr>
        <sz val="10"/>
        <color rgb="FF231F20"/>
        <rFont val="Tahoma"/>
        <family val="2"/>
      </rPr>
      <t>Serenje</t>
    </r>
  </si>
  <si>
    <r>
      <rPr>
        <sz val="10"/>
        <color rgb="FF231F20"/>
        <rFont val="Tahoma"/>
        <family val="2"/>
      </rPr>
      <t>Ndola</t>
    </r>
  </si>
  <si>
    <r>
      <rPr>
        <sz val="10"/>
        <color rgb="FF231F20"/>
        <rFont val="Tahoma"/>
        <family val="2"/>
      </rPr>
      <t>Copperbelt</t>
    </r>
  </si>
  <si>
    <r>
      <rPr>
        <sz val="10"/>
        <color rgb="FF231F20"/>
        <rFont val="Tahoma"/>
        <family val="2"/>
      </rPr>
      <t>Chililabombwe</t>
    </r>
  </si>
  <si>
    <r>
      <rPr>
        <sz val="10"/>
        <color rgb="FF231F20"/>
        <rFont val="Tahoma"/>
        <family val="2"/>
      </rPr>
      <t>Chingola</t>
    </r>
  </si>
  <si>
    <r>
      <rPr>
        <sz val="10"/>
        <color rgb="FF231F20"/>
        <rFont val="Tahoma"/>
        <family val="2"/>
      </rPr>
      <t>Kalulushi</t>
    </r>
  </si>
  <si>
    <r>
      <rPr>
        <sz val="10"/>
        <color rgb="FF231F20"/>
        <rFont val="Tahoma"/>
        <family val="2"/>
      </rPr>
      <t>Kitwe</t>
    </r>
  </si>
  <si>
    <r>
      <rPr>
        <sz val="10"/>
        <color rgb="FF231F20"/>
        <rFont val="Tahoma"/>
        <family val="2"/>
      </rPr>
      <t>Luanshya</t>
    </r>
  </si>
  <si>
    <r>
      <rPr>
        <sz val="10"/>
        <color rgb="FF231F20"/>
        <rFont val="Tahoma"/>
        <family val="2"/>
      </rPr>
      <t>Lufwanyama</t>
    </r>
  </si>
  <si>
    <r>
      <rPr>
        <sz val="10"/>
        <color rgb="FF231F20"/>
        <rFont val="Tahoma"/>
        <family val="2"/>
      </rPr>
      <t>Masaiti</t>
    </r>
  </si>
  <si>
    <r>
      <rPr>
        <sz val="10"/>
        <color rgb="FF231F20"/>
        <rFont val="Tahoma"/>
        <family val="2"/>
      </rPr>
      <t>Mpongwe</t>
    </r>
  </si>
  <si>
    <r>
      <rPr>
        <sz val="10"/>
        <color rgb="FF231F20"/>
        <rFont val="Tahoma"/>
        <family val="2"/>
      </rPr>
      <t>Mufulira</t>
    </r>
  </si>
  <si>
    <r>
      <rPr>
        <sz val="10"/>
        <color rgb="FF231F20"/>
        <rFont val="Tahoma"/>
        <family val="2"/>
      </rPr>
      <t>Eastern</t>
    </r>
  </si>
  <si>
    <r>
      <rPr>
        <sz val="10"/>
        <color rgb="FF231F20"/>
        <rFont val="Tahoma"/>
        <family val="2"/>
      </rPr>
      <t>Chadiza</t>
    </r>
  </si>
  <si>
    <r>
      <rPr>
        <sz val="10"/>
        <color rgb="FF231F20"/>
        <rFont val="Tahoma"/>
        <family val="2"/>
      </rPr>
      <t>Chipata</t>
    </r>
  </si>
  <si>
    <r>
      <rPr>
        <sz val="10"/>
        <color rgb="FF231F20"/>
        <rFont val="Tahoma"/>
        <family val="2"/>
      </rPr>
      <t>Katete</t>
    </r>
  </si>
  <si>
    <r>
      <rPr>
        <sz val="10"/>
        <color rgb="FF231F20"/>
        <rFont val="Tahoma"/>
        <family val="2"/>
      </rPr>
      <t>Lundazi</t>
    </r>
  </si>
  <si>
    <r>
      <rPr>
        <sz val="10"/>
        <color rgb="FF231F20"/>
        <rFont val="Tahoma"/>
        <family val="2"/>
      </rPr>
      <t>Mambwe</t>
    </r>
  </si>
  <si>
    <r>
      <rPr>
        <sz val="10"/>
        <color rgb="FF231F20"/>
        <rFont val="Tahoma"/>
        <family val="2"/>
      </rPr>
      <t>Nyimba</t>
    </r>
  </si>
  <si>
    <r>
      <rPr>
        <sz val="10"/>
        <color rgb="FF231F20"/>
        <rFont val="Tahoma"/>
        <family val="2"/>
      </rPr>
      <t>Petauke</t>
    </r>
  </si>
  <si>
    <r>
      <rPr>
        <sz val="10"/>
        <color rgb="FF231F20"/>
        <rFont val="Tahoma"/>
        <family val="2"/>
      </rPr>
      <t>Luapula</t>
    </r>
  </si>
  <si>
    <r>
      <rPr>
        <sz val="10"/>
        <color rgb="FF231F20"/>
        <rFont val="Tahoma"/>
        <family val="2"/>
      </rPr>
      <t>Chienge</t>
    </r>
  </si>
  <si>
    <r>
      <rPr>
        <sz val="10"/>
        <color rgb="FF231F20"/>
        <rFont val="Tahoma"/>
        <family val="2"/>
      </rPr>
      <t>Kawambwa</t>
    </r>
  </si>
  <si>
    <r>
      <rPr>
        <sz val="10"/>
        <color rgb="FF231F20"/>
        <rFont val="Tahoma"/>
        <family val="2"/>
      </rPr>
      <t>Mansa</t>
    </r>
  </si>
  <si>
    <r>
      <rPr>
        <sz val="10"/>
        <color rgb="FF231F20"/>
        <rFont val="Tahoma"/>
        <family val="2"/>
      </rPr>
      <t>Milenge</t>
    </r>
  </si>
  <si>
    <r>
      <rPr>
        <sz val="10"/>
        <color rgb="FF231F20"/>
        <rFont val="Tahoma"/>
        <family val="2"/>
      </rPr>
      <t>Mwense</t>
    </r>
  </si>
  <si>
    <r>
      <rPr>
        <sz val="10"/>
        <color rgb="FF231F20"/>
        <rFont val="Tahoma"/>
        <family val="2"/>
      </rPr>
      <t>Nchelenge</t>
    </r>
  </si>
  <si>
    <r>
      <rPr>
        <sz val="10"/>
        <color rgb="FF231F20"/>
        <rFont val="Tahoma"/>
        <family val="2"/>
      </rPr>
      <t>Samfya</t>
    </r>
  </si>
  <si>
    <r>
      <rPr>
        <sz val="10"/>
        <color rgb="FF231F20"/>
        <rFont val="Tahoma"/>
        <family val="2"/>
      </rPr>
      <t>Lusaka</t>
    </r>
  </si>
  <si>
    <r>
      <rPr>
        <sz val="10"/>
        <color rgb="FF231F20"/>
        <rFont val="Tahoma"/>
        <family val="2"/>
      </rPr>
      <t>Chongwe</t>
    </r>
  </si>
  <si>
    <r>
      <rPr>
        <sz val="10"/>
        <color rgb="FF231F20"/>
        <rFont val="Tahoma"/>
        <family val="2"/>
      </rPr>
      <t>Kafue</t>
    </r>
  </si>
  <si>
    <r>
      <rPr>
        <sz val="10"/>
        <color rgb="FF231F20"/>
        <rFont val="Tahoma"/>
        <family val="2"/>
      </rPr>
      <t>Luangwa</t>
    </r>
  </si>
  <si>
    <r>
      <rPr>
        <sz val="10"/>
        <color rgb="FF231F20"/>
        <rFont val="Tahoma"/>
        <family val="2"/>
      </rPr>
      <t>Muchinga</t>
    </r>
  </si>
  <si>
    <r>
      <rPr>
        <sz val="10"/>
        <color rgb="FF231F20"/>
        <rFont val="Tahoma"/>
        <family val="2"/>
      </rPr>
      <t>Chama</t>
    </r>
  </si>
  <si>
    <r>
      <rPr>
        <sz val="10"/>
        <color rgb="FF231F20"/>
        <rFont val="Tahoma"/>
        <family val="2"/>
      </rPr>
      <t>Chinsali</t>
    </r>
  </si>
  <si>
    <r>
      <rPr>
        <sz val="10"/>
        <color rgb="FF231F20"/>
        <rFont val="Tahoma"/>
        <family val="2"/>
      </rPr>
      <t>Isoka</t>
    </r>
  </si>
  <si>
    <r>
      <rPr>
        <sz val="10"/>
        <color rgb="FF231F20"/>
        <rFont val="Tahoma"/>
        <family val="2"/>
      </rPr>
      <t>Mafinga</t>
    </r>
  </si>
  <si>
    <r>
      <rPr>
        <sz val="10"/>
        <color rgb="FF231F20"/>
        <rFont val="Tahoma"/>
        <family val="2"/>
      </rPr>
      <t>Mpika</t>
    </r>
  </si>
  <si>
    <r>
      <rPr>
        <sz val="10"/>
        <color rgb="FF231F20"/>
        <rFont val="Tahoma"/>
        <family val="2"/>
      </rPr>
      <t>Nakonde</t>
    </r>
  </si>
  <si>
    <r>
      <rPr>
        <sz val="10"/>
        <color rgb="FF231F20"/>
        <rFont val="Tahoma"/>
        <family val="2"/>
      </rPr>
      <t>Northern</t>
    </r>
  </si>
  <si>
    <r>
      <rPr>
        <sz val="10"/>
        <color rgb="FF231F20"/>
        <rFont val="Tahoma"/>
        <family val="2"/>
      </rPr>
      <t>Chilubi</t>
    </r>
  </si>
  <si>
    <r>
      <rPr>
        <sz val="10"/>
        <color rgb="FF231F20"/>
        <rFont val="Tahoma"/>
        <family val="2"/>
      </rPr>
      <t>Kaputa</t>
    </r>
  </si>
  <si>
    <r>
      <rPr>
        <sz val="10"/>
        <color rgb="FF231F20"/>
        <rFont val="Tahoma"/>
        <family val="2"/>
      </rPr>
      <t>Kasama</t>
    </r>
  </si>
  <si>
    <r>
      <rPr>
        <sz val="10"/>
        <color rgb="FF231F20"/>
        <rFont val="Tahoma"/>
        <family val="2"/>
      </rPr>
      <t>Luwingu</t>
    </r>
  </si>
  <si>
    <r>
      <rPr>
        <sz val="10"/>
        <color rgb="FF231F20"/>
        <rFont val="Tahoma"/>
        <family val="2"/>
      </rPr>
      <t>Mbala</t>
    </r>
  </si>
  <si>
    <r>
      <rPr>
        <sz val="10"/>
        <color rgb="FF231F20"/>
        <rFont val="Tahoma"/>
        <family val="2"/>
      </rPr>
      <t>Mporokoso</t>
    </r>
  </si>
  <si>
    <r>
      <rPr>
        <sz val="10"/>
        <color rgb="FF231F20"/>
        <rFont val="Tahoma"/>
        <family val="2"/>
      </rPr>
      <t>Mpulungu</t>
    </r>
  </si>
  <si>
    <r>
      <rPr>
        <sz val="10"/>
        <color rgb="FF231F20"/>
        <rFont val="Tahoma"/>
        <family val="2"/>
      </rPr>
      <t>Mungwi</t>
    </r>
  </si>
  <si>
    <r>
      <rPr>
        <sz val="10"/>
        <color rgb="FF231F20"/>
        <rFont val="Tahoma"/>
        <family val="2"/>
      </rPr>
      <t>Chavuma</t>
    </r>
  </si>
  <si>
    <r>
      <rPr>
        <sz val="10"/>
        <color rgb="FF231F20"/>
        <rFont val="Tahoma"/>
        <family val="2"/>
      </rPr>
      <t>Ikelenge</t>
    </r>
  </si>
  <si>
    <r>
      <rPr>
        <sz val="10"/>
        <color rgb="FF231F20"/>
        <rFont val="Tahoma"/>
        <family val="2"/>
      </rPr>
      <t>Kabompo</t>
    </r>
  </si>
  <si>
    <r>
      <rPr>
        <sz val="10"/>
        <color rgb="FF231F20"/>
        <rFont val="Tahoma"/>
        <family val="2"/>
      </rPr>
      <t>Kasempa</t>
    </r>
  </si>
  <si>
    <r>
      <rPr>
        <sz val="10"/>
        <color rgb="FF231F20"/>
        <rFont val="Tahoma"/>
        <family val="2"/>
      </rPr>
      <t>Mufumbwe</t>
    </r>
  </si>
  <si>
    <r>
      <rPr>
        <sz val="10"/>
        <color rgb="FF231F20"/>
        <rFont val="Tahoma"/>
        <family val="2"/>
      </rPr>
      <t>Mwinilunga</t>
    </r>
  </si>
  <si>
    <r>
      <rPr>
        <sz val="10"/>
        <color rgb="FF231F20"/>
        <rFont val="Tahoma"/>
        <family val="2"/>
      </rPr>
      <t>Solwezi</t>
    </r>
  </si>
  <si>
    <r>
      <rPr>
        <sz val="10"/>
        <color rgb="FF231F20"/>
        <rFont val="Tahoma"/>
        <family val="2"/>
      </rPr>
      <t>Zambezi</t>
    </r>
  </si>
  <si>
    <r>
      <rPr>
        <sz val="10"/>
        <color rgb="FF231F20"/>
        <rFont val="Tahoma"/>
        <family val="2"/>
      </rPr>
      <t>Southern</t>
    </r>
  </si>
  <si>
    <r>
      <rPr>
        <sz val="10"/>
        <color rgb="FF231F20"/>
        <rFont val="Tahoma"/>
        <family val="2"/>
      </rPr>
      <t>Choma</t>
    </r>
  </si>
  <si>
    <r>
      <rPr>
        <sz val="10"/>
        <color rgb="FF231F20"/>
        <rFont val="Tahoma"/>
        <family val="2"/>
      </rPr>
      <t>Gwembe</t>
    </r>
  </si>
  <si>
    <r>
      <rPr>
        <sz val="10"/>
        <color rgb="FF231F20"/>
        <rFont val="Tahoma"/>
        <family val="2"/>
      </rPr>
      <t>Kalomo</t>
    </r>
  </si>
  <si>
    <r>
      <rPr>
        <sz val="10"/>
        <color rgb="FF231F20"/>
        <rFont val="Tahoma"/>
        <family val="2"/>
      </rPr>
      <t>Kazungula</t>
    </r>
  </si>
  <si>
    <r>
      <rPr>
        <sz val="10"/>
        <color rgb="FF231F20"/>
        <rFont val="Tahoma"/>
        <family val="2"/>
      </rPr>
      <t>Mazabuka</t>
    </r>
  </si>
  <si>
    <r>
      <rPr>
        <sz val="10"/>
        <color rgb="FF231F20"/>
        <rFont val="Tahoma"/>
        <family val="2"/>
      </rPr>
      <t>Monze</t>
    </r>
  </si>
  <si>
    <r>
      <rPr>
        <sz val="10"/>
        <color rgb="FF231F20"/>
        <rFont val="Tahoma"/>
        <family val="2"/>
      </rPr>
      <t>Namwala</t>
    </r>
  </si>
  <si>
    <r>
      <rPr>
        <sz val="10"/>
        <color rgb="FF231F20"/>
        <rFont val="Tahoma"/>
        <family val="2"/>
      </rPr>
      <t>Siavonga</t>
    </r>
  </si>
  <si>
    <r>
      <rPr>
        <sz val="10"/>
        <color rgb="FF231F20"/>
        <rFont val="Tahoma"/>
        <family val="2"/>
      </rPr>
      <t>Sinazongwe</t>
    </r>
  </si>
  <si>
    <r>
      <rPr>
        <sz val="10"/>
        <color rgb="FF231F20"/>
        <rFont val="Tahoma"/>
        <family val="2"/>
      </rPr>
      <t>Western</t>
    </r>
  </si>
  <si>
    <r>
      <rPr>
        <sz val="10"/>
        <color rgb="FF231F20"/>
        <rFont val="Tahoma"/>
        <family val="2"/>
      </rPr>
      <t>Kaoma</t>
    </r>
  </si>
  <si>
    <r>
      <rPr>
        <sz val="10"/>
        <color rgb="FF231F20"/>
        <rFont val="Tahoma"/>
        <family val="2"/>
      </rPr>
      <t>Mongu</t>
    </r>
  </si>
  <si>
    <r>
      <rPr>
        <sz val="10"/>
        <color rgb="FF231F20"/>
        <rFont val="Tahoma"/>
        <family val="2"/>
      </rPr>
      <t>Shangombo</t>
    </r>
  </si>
  <si>
    <r>
      <rPr>
        <sz val="10"/>
        <color rgb="FF231F20"/>
        <rFont val="Trebuchet MS"/>
        <family val="2"/>
      </rPr>
      <t>Crop</t>
    </r>
  </si>
  <si>
    <r>
      <rPr>
        <sz val="10"/>
        <color rgb="FF231F20"/>
        <rFont val="Trebuchet MS"/>
        <family val="2"/>
      </rPr>
      <t>Province</t>
    </r>
  </si>
  <si>
    <r>
      <rPr>
        <sz val="10"/>
        <color rgb="FF231F20"/>
        <rFont val="Trebuchet MS"/>
        <family val="2"/>
      </rPr>
      <t>District</t>
    </r>
  </si>
  <si>
    <r>
      <rPr>
        <sz val="10"/>
        <color rgb="FF231F20"/>
        <rFont val="Trebuchet MS"/>
        <family val="2"/>
      </rPr>
      <t>Hectares Planted</t>
    </r>
  </si>
  <si>
    <r>
      <rPr>
        <sz val="10"/>
        <color rgb="FF231F20"/>
        <rFont val="Trebuchet MS"/>
        <family val="2"/>
      </rPr>
      <t>Hectares Harvested</t>
    </r>
  </si>
  <si>
    <r>
      <rPr>
        <sz val="10"/>
        <color rgb="FF231F20"/>
        <rFont val="Trebuchet MS"/>
        <family val="2"/>
      </rPr>
      <t>Production (MT)</t>
    </r>
  </si>
  <si>
    <r>
      <rPr>
        <sz val="10"/>
        <color rgb="FF231F20"/>
        <rFont val="Trebuchet MS"/>
        <family val="2"/>
      </rPr>
      <t>Yield (MT/ Ha)</t>
    </r>
  </si>
  <si>
    <r>
      <rPr>
        <sz val="10"/>
        <color rgb="FF231F20"/>
        <rFont val="Trebuchet MS"/>
        <family val="2"/>
      </rPr>
      <t>Sales (MT)</t>
    </r>
  </si>
  <si>
    <r>
      <rPr>
        <sz val="10"/>
        <color rgb="FF231F20"/>
        <rFont val="Trebuchet MS"/>
        <family val="2"/>
      </rPr>
      <t>Basal (MT)</t>
    </r>
  </si>
  <si>
    <r>
      <rPr>
        <sz val="10"/>
        <color rgb="FF231F20"/>
        <rFont val="Trebuchet MS"/>
        <family val="2"/>
      </rPr>
      <t>Top (MT)</t>
    </r>
  </si>
  <si>
    <t>Itezhi0tezhi</t>
  </si>
  <si>
    <t>Row Labels</t>
  </si>
  <si>
    <t>Central</t>
  </si>
  <si>
    <t>Copperbelt</t>
  </si>
  <si>
    <t>Eastern</t>
  </si>
  <si>
    <t>Luapula</t>
  </si>
  <si>
    <t>Lusaka</t>
  </si>
  <si>
    <t>Muchinga</t>
  </si>
  <si>
    <t>Northern</t>
  </si>
  <si>
    <t>Southern</t>
  </si>
  <si>
    <t>Western</t>
  </si>
  <si>
    <t>Grand Total</t>
  </si>
  <si>
    <t>Sum of Hectares Planted</t>
  </si>
  <si>
    <t>Sum of Production (MT)</t>
  </si>
  <si>
    <t>North Western</t>
  </si>
  <si>
    <t>Sum of Hectares Harvested</t>
  </si>
  <si>
    <t>Average of Yield (MT/ Ha)</t>
  </si>
  <si>
    <t>Sum of Sales (MT)</t>
  </si>
  <si>
    <t>Soya Beans Production Data 2021/2022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</si>
</sst>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0"/>
      <color rgb="FF000000"/>
      <name val="Times New Roman"/>
      <family val="1"/>
    </font>
    <font>
      <sz val="10"/>
      <name val="Trebuchet MS"/>
      <family val="2"/>
    </font>
    <font>
      <sz val="10"/>
      <name val="Tahoma"/>
      <family val="2"/>
    </font>
    <font>
      <sz val="10"/>
      <color rgb="FF231F20"/>
      <name val="Tahoma"/>
      <family val="2"/>
    </font>
    <font>
      <sz val="10"/>
      <color rgb="FF231F20"/>
      <name val="Trebuchet MS"/>
      <family val="2"/>
    </font>
    <font>
      <sz val="22"/>
      <color theme="0"/>
      <name val="Arial Black"/>
      <family val="2"/>
    </font>
  </fonts>
  <fills count="3">
    <fill>
      <patternFill patternType="none"/>
    </fill>
    <fill>
      <patternFill patternType="gray125"/>
    </fill>
    <fill>
      <patternFill patternType="solid">
        <fgColor rgb="FF00B050"/>
        <bgColor indexed="64"/>
      </patternFill>
    </fill>
  </fills>
  <borders count="10">
    <border>
      <left/>
      <right/>
      <top/>
      <bottom/>
      <diagonal/>
    </border>
    <border>
      <left style="thin">
        <color rgb="FF145128"/>
      </left>
      <right style="thin">
        <color rgb="FF145128"/>
      </right>
      <top style="thin">
        <color rgb="FF145128"/>
      </top>
      <bottom style="thin">
        <color rgb="FF145128"/>
      </bottom>
      <diagonal/>
    </border>
    <border>
      <left style="thin">
        <color rgb="FF145128"/>
      </left>
      <right style="thin">
        <color rgb="FF145128"/>
      </right>
      <top style="thin">
        <color rgb="FF145128"/>
      </top>
      <bottom/>
      <diagonal/>
    </border>
    <border>
      <left style="thin">
        <color rgb="FF145128"/>
      </left>
      <right style="thin">
        <color rgb="FF145128"/>
      </right>
      <top/>
      <bottom/>
      <diagonal/>
    </border>
    <border>
      <left style="thin">
        <color rgb="FF145128"/>
      </left>
      <right style="thin">
        <color rgb="FF145128"/>
      </right>
      <top/>
      <bottom style="thin">
        <color rgb="FF145128"/>
      </bottom>
      <diagonal/>
    </border>
    <border>
      <left/>
      <right style="thin">
        <color rgb="FF145128"/>
      </right>
      <top style="thin">
        <color rgb="FF145128"/>
      </top>
      <bottom/>
      <diagonal/>
    </border>
    <border>
      <left/>
      <right style="thin">
        <color rgb="FF145128"/>
      </right>
      <top/>
      <bottom/>
      <diagonal/>
    </border>
    <border>
      <left style="thin">
        <color rgb="FF145128"/>
      </left>
      <right/>
      <top style="thin">
        <color rgb="FF145128"/>
      </top>
      <bottom style="thin">
        <color rgb="FF145128"/>
      </bottom>
      <diagonal/>
    </border>
    <border>
      <left style="thin">
        <color rgb="FF145128"/>
      </left>
      <right/>
      <top/>
      <bottom style="thin">
        <color rgb="FF145128"/>
      </bottom>
      <diagonal/>
    </border>
    <border>
      <left/>
      <right style="thin">
        <color rgb="FF145128"/>
      </right>
      <top/>
      <bottom style="thin">
        <color rgb="FF145128"/>
      </bottom>
      <diagonal/>
    </border>
  </borders>
  <cellStyleXfs count="2">
    <xf numFmtId="0" fontId="0" fillId="0" borderId="0"/>
    <xf numFmtId="0" fontId="1" fillId="0" borderId="0"/>
  </cellStyleXfs>
  <cellXfs count="32">
    <xf numFmtId="0" fontId="0" fillId="0" borderId="0" xfId="0"/>
    <xf numFmtId="0" fontId="3" fillId="0" borderId="1" xfId="1" applyFont="1" applyFill="1" applyBorder="1" applyAlignment="1">
      <alignment horizontal="left" vertical="top" wrapText="1"/>
    </xf>
    <xf numFmtId="3" fontId="4" fillId="0" borderId="1" xfId="1" applyNumberFormat="1" applyFont="1" applyFill="1" applyBorder="1" applyAlignment="1">
      <alignment horizontal="right" vertical="top" indent="1" shrinkToFit="1"/>
    </xf>
    <xf numFmtId="1" fontId="4" fillId="0" borderId="1" xfId="1" applyNumberFormat="1" applyFont="1" applyFill="1" applyBorder="1" applyAlignment="1">
      <alignment horizontal="right" vertical="top" indent="1" shrinkToFit="1"/>
    </xf>
    <xf numFmtId="0" fontId="3" fillId="0" borderId="1" xfId="1" applyFont="1" applyFill="1" applyBorder="1" applyAlignment="1">
      <alignment horizontal="right" vertical="top" wrapText="1" indent="1"/>
    </xf>
    <xf numFmtId="2" fontId="4" fillId="0" borderId="1" xfId="1" applyNumberFormat="1" applyFont="1" applyFill="1" applyBorder="1" applyAlignment="1">
      <alignment horizontal="right" vertical="top" indent="1" shrinkToFit="1"/>
    </xf>
    <xf numFmtId="1" fontId="4" fillId="0" borderId="4" xfId="1" applyNumberFormat="1" applyFont="1" applyFill="1" applyBorder="1" applyAlignment="1">
      <alignment horizontal="right" vertical="top" indent="1" shrinkToFit="1"/>
    </xf>
    <xf numFmtId="2" fontId="4" fillId="0" borderId="4" xfId="1" applyNumberFormat="1" applyFont="1" applyFill="1" applyBorder="1" applyAlignment="1">
      <alignment horizontal="right" vertical="top" indent="1" shrinkToFit="1"/>
    </xf>
    <xf numFmtId="3" fontId="4" fillId="0" borderId="4" xfId="1" applyNumberFormat="1" applyFont="1" applyFill="1" applyBorder="1" applyAlignment="1">
      <alignment horizontal="right" vertical="top" indent="1" shrinkToFit="1"/>
    </xf>
    <xf numFmtId="0" fontId="3" fillId="0" borderId="4" xfId="1" applyFont="1" applyFill="1" applyBorder="1" applyAlignment="1">
      <alignment horizontal="left" vertical="top" wrapText="1"/>
    </xf>
    <xf numFmtId="0" fontId="0" fillId="0" borderId="0" xfId="0" pivotButton="1"/>
    <xf numFmtId="0" fontId="0" fillId="0" borderId="0" xfId="0" applyAlignment="1">
      <alignment horizontal="left"/>
    </xf>
    <xf numFmtId="0" fontId="0" fillId="0" borderId="0" xfId="0" applyNumberFormat="1"/>
    <xf numFmtId="0" fontId="3" fillId="0" borderId="2" xfId="1" applyFont="1" applyFill="1" applyBorder="1" applyAlignment="1">
      <alignment vertical="top" wrapText="1"/>
    </xf>
    <xf numFmtId="0" fontId="3" fillId="0" borderId="3" xfId="1" applyFont="1" applyFill="1" applyBorder="1" applyAlignment="1">
      <alignment vertical="top" wrapText="1"/>
    </xf>
    <xf numFmtId="0" fontId="3" fillId="0" borderId="4" xfId="1" applyFont="1" applyFill="1" applyBorder="1" applyAlignment="1">
      <alignment vertical="top" wrapText="1"/>
    </xf>
    <xf numFmtId="0" fontId="6" fillId="2" borderId="0" xfId="0" applyFont="1" applyFill="1" applyAlignment="1">
      <alignment horizontal="center" vertical="center"/>
    </xf>
    <xf numFmtId="0" fontId="3" fillId="0" borderId="5" xfId="1" applyFont="1" applyFill="1" applyBorder="1" applyAlignment="1">
      <alignment horizontal="left" vertical="top" wrapText="1"/>
    </xf>
    <xf numFmtId="0" fontId="3" fillId="0" borderId="6" xfId="1" applyFont="1" applyFill="1" applyBorder="1" applyAlignment="1">
      <alignment horizontal="left" vertical="top" wrapText="1"/>
    </xf>
    <xf numFmtId="0" fontId="1" fillId="0" borderId="6" xfId="1" applyFill="1" applyBorder="1" applyAlignment="1">
      <alignment horizontal="left" vertical="top" wrapText="1"/>
    </xf>
    <xf numFmtId="1" fontId="4" fillId="0" borderId="7" xfId="1" applyNumberFormat="1" applyFont="1" applyFill="1" applyBorder="1" applyAlignment="1">
      <alignment horizontal="right" vertical="top" indent="1" shrinkToFit="1"/>
    </xf>
    <xf numFmtId="3" fontId="4" fillId="0" borderId="7" xfId="1" applyNumberFormat="1" applyFont="1" applyFill="1" applyBorder="1" applyAlignment="1">
      <alignment horizontal="right" vertical="top" indent="1" shrinkToFit="1"/>
    </xf>
    <xf numFmtId="0" fontId="3" fillId="0" borderId="7" xfId="1" applyFont="1" applyFill="1" applyBorder="1" applyAlignment="1">
      <alignment horizontal="right" vertical="top" wrapText="1" indent="1"/>
    </xf>
    <xf numFmtId="1" fontId="4" fillId="0" borderId="8" xfId="1" applyNumberFormat="1" applyFont="1" applyFill="1" applyBorder="1" applyAlignment="1">
      <alignment horizontal="right" vertical="top" indent="1" shrinkToFit="1"/>
    </xf>
    <xf numFmtId="0" fontId="2" fillId="0" borderId="9" xfId="1" applyFont="1" applyFill="1" applyBorder="1" applyAlignment="1">
      <alignment horizontal="center" vertical="center" wrapText="1"/>
    </xf>
    <xf numFmtId="0" fontId="2" fillId="0" borderId="4" xfId="1" applyFont="1" applyFill="1" applyBorder="1" applyAlignment="1">
      <alignment horizontal="left" vertical="center" wrapText="1" indent="2"/>
    </xf>
    <xf numFmtId="0" fontId="2" fillId="0" borderId="4" xfId="1" applyFont="1" applyFill="1" applyBorder="1" applyAlignment="1">
      <alignment horizontal="left" vertical="top" wrapText="1" indent="1"/>
    </xf>
    <xf numFmtId="0" fontId="2" fillId="0" borderId="4" xfId="1" applyFont="1" applyFill="1" applyBorder="1" applyAlignment="1">
      <alignment horizontal="left" vertical="top" wrapText="1"/>
    </xf>
    <xf numFmtId="0" fontId="2" fillId="0" borderId="4" xfId="1" applyFont="1" applyFill="1" applyBorder="1" applyAlignment="1">
      <alignment horizontal="left" vertical="center" wrapText="1"/>
    </xf>
    <xf numFmtId="0" fontId="2" fillId="0" borderId="4" xfId="1" applyFont="1" applyFill="1" applyBorder="1" applyAlignment="1">
      <alignment horizontal="right" vertical="center" wrapText="1" indent="1"/>
    </xf>
    <xf numFmtId="0" fontId="2" fillId="0" borderId="4" xfId="1" applyFont="1" applyFill="1" applyBorder="1" applyAlignment="1">
      <alignment horizontal="left" vertical="top" wrapText="1" indent="2"/>
    </xf>
    <xf numFmtId="0" fontId="2" fillId="0" borderId="8" xfId="1" applyFont="1" applyFill="1" applyBorder="1" applyAlignment="1">
      <alignment horizontal="left" vertical="center" wrapText="1" indent="1"/>
    </xf>
  </cellXfs>
  <cellStyles count="2">
    <cellStyle name="Normal" xfId="0" builtinId="0"/>
    <cellStyle name="Normal 2" xfId="1"/>
  </cellStyles>
  <dxfs count="11">
    <dxf>
      <font>
        <b val="0"/>
        <i val="0"/>
        <strike val="0"/>
        <condense val="0"/>
        <extend val="0"/>
        <outline val="0"/>
        <shadow val="0"/>
        <u val="none"/>
        <vertAlign val="baseline"/>
        <sz val="10"/>
        <color auto="1"/>
        <name val="Tahoma"/>
        <scheme val="none"/>
      </font>
      <fill>
        <patternFill patternType="none">
          <fgColor indexed="64"/>
          <bgColor indexed="65"/>
        </patternFill>
      </fill>
      <alignment horizontal="right" vertical="top" textRotation="0" wrapText="1" indent="1" justifyLastLine="0" shrinkToFit="0" readingOrder="0"/>
      <border diagonalUp="0" diagonalDown="0">
        <left style="thin">
          <color rgb="FF145128"/>
        </left>
        <right/>
        <top style="thin">
          <color rgb="FF145128"/>
        </top>
        <bottom style="thin">
          <color rgb="FF145128"/>
        </bottom>
        <vertical/>
        <horizontal/>
      </border>
    </dxf>
    <dxf>
      <font>
        <b val="0"/>
        <i val="0"/>
        <strike val="0"/>
        <condense val="0"/>
        <extend val="0"/>
        <outline val="0"/>
        <shadow val="0"/>
        <u val="none"/>
        <vertAlign val="baseline"/>
        <sz val="10"/>
        <color auto="1"/>
        <name val="Tahoma"/>
        <scheme val="none"/>
      </font>
      <fill>
        <patternFill patternType="none">
          <fgColor indexed="64"/>
          <bgColor indexed="65"/>
        </patternFill>
      </fill>
      <alignment horizontal="right" vertical="top" textRotation="0" wrapText="1" indent="1" justifyLastLine="0" shrinkToFit="0" readingOrder="0"/>
      <border diagonalUp="0" diagonalDown="0">
        <left style="thin">
          <color rgb="FF145128"/>
        </left>
        <right style="thin">
          <color rgb="FF145128"/>
        </right>
        <top style="thin">
          <color rgb="FF145128"/>
        </top>
        <bottom style="thin">
          <color rgb="FF145128"/>
        </bottom>
        <vertical/>
        <horizontal/>
      </border>
    </dxf>
    <dxf>
      <font>
        <b val="0"/>
        <i val="0"/>
        <strike val="0"/>
        <condense val="0"/>
        <extend val="0"/>
        <outline val="0"/>
        <shadow val="0"/>
        <u val="none"/>
        <vertAlign val="baseline"/>
        <sz val="10"/>
        <color rgb="FF231F20"/>
        <name val="Tahoma"/>
        <scheme val="none"/>
      </font>
      <numFmt numFmtId="2" formatCode="0.00"/>
      <fill>
        <patternFill patternType="none">
          <fgColor indexed="64"/>
          <bgColor indexed="65"/>
        </patternFill>
      </fill>
      <alignment horizontal="right" vertical="top" textRotation="0" wrapText="0" indent="1" justifyLastLine="0" shrinkToFit="1" readingOrder="0"/>
      <border diagonalUp="0" diagonalDown="0">
        <left style="thin">
          <color rgb="FF145128"/>
        </left>
        <right style="thin">
          <color rgb="FF145128"/>
        </right>
        <top style="thin">
          <color rgb="FF145128"/>
        </top>
        <bottom style="thin">
          <color rgb="FF145128"/>
        </bottom>
        <vertical/>
        <horizontal/>
      </border>
    </dxf>
    <dxf>
      <font>
        <b val="0"/>
        <i val="0"/>
        <strike val="0"/>
        <condense val="0"/>
        <extend val="0"/>
        <outline val="0"/>
        <shadow val="0"/>
        <u val="none"/>
        <vertAlign val="baseline"/>
        <sz val="10"/>
        <color rgb="FF231F20"/>
        <name val="Tahoma"/>
        <scheme val="none"/>
      </font>
      <numFmt numFmtId="1" formatCode="0"/>
      <fill>
        <patternFill patternType="none">
          <fgColor indexed="64"/>
          <bgColor indexed="65"/>
        </patternFill>
      </fill>
      <alignment horizontal="right" vertical="top" textRotation="0" wrapText="0" indent="1" justifyLastLine="0" shrinkToFit="1" readingOrder="0"/>
      <border diagonalUp="0" diagonalDown="0">
        <left style="thin">
          <color rgb="FF145128"/>
        </left>
        <right style="thin">
          <color rgb="FF145128"/>
        </right>
        <top style="thin">
          <color rgb="FF145128"/>
        </top>
        <bottom style="thin">
          <color rgb="FF145128"/>
        </bottom>
        <vertical/>
        <horizontal/>
      </border>
    </dxf>
    <dxf>
      <font>
        <b val="0"/>
        <i val="0"/>
        <strike val="0"/>
        <condense val="0"/>
        <extend val="0"/>
        <outline val="0"/>
        <shadow val="0"/>
        <u val="none"/>
        <vertAlign val="baseline"/>
        <sz val="10"/>
        <color rgb="FF231F20"/>
        <name val="Tahoma"/>
        <scheme val="none"/>
      </font>
      <numFmt numFmtId="1" formatCode="0"/>
      <fill>
        <patternFill patternType="none">
          <fgColor indexed="64"/>
          <bgColor indexed="65"/>
        </patternFill>
      </fill>
      <alignment horizontal="right" vertical="top" textRotation="0" wrapText="0" indent="1" justifyLastLine="0" shrinkToFit="1" readingOrder="0"/>
      <border diagonalUp="0" diagonalDown="0">
        <left style="thin">
          <color rgb="FF145128"/>
        </left>
        <right style="thin">
          <color rgb="FF145128"/>
        </right>
        <top style="thin">
          <color rgb="FF145128"/>
        </top>
        <bottom style="thin">
          <color rgb="FF145128"/>
        </bottom>
        <vertical/>
        <horizontal/>
      </border>
    </dxf>
    <dxf>
      <font>
        <b val="0"/>
        <i val="0"/>
        <strike val="0"/>
        <condense val="0"/>
        <extend val="0"/>
        <outline val="0"/>
        <shadow val="0"/>
        <u val="none"/>
        <vertAlign val="baseline"/>
        <sz val="10"/>
        <color rgb="FF231F20"/>
        <name val="Tahoma"/>
        <scheme val="none"/>
      </font>
      <numFmt numFmtId="1" formatCode="0"/>
      <fill>
        <patternFill patternType="none">
          <fgColor indexed="64"/>
          <bgColor indexed="65"/>
        </patternFill>
      </fill>
      <alignment horizontal="right" vertical="top" textRotation="0" wrapText="0" indent="1" justifyLastLine="0" shrinkToFit="1" readingOrder="0"/>
      <border diagonalUp="0" diagonalDown="0">
        <left style="thin">
          <color rgb="FF145128"/>
        </left>
        <right style="thin">
          <color rgb="FF145128"/>
        </right>
        <top style="thin">
          <color rgb="FF145128"/>
        </top>
        <bottom style="thin">
          <color rgb="FF145128"/>
        </bottom>
        <vertical/>
        <horizontal/>
      </border>
    </dxf>
    <dxf>
      <font>
        <b val="0"/>
        <i val="0"/>
        <strike val="0"/>
        <condense val="0"/>
        <extend val="0"/>
        <outline val="0"/>
        <shadow val="0"/>
        <u val="none"/>
        <vertAlign val="baseline"/>
        <sz val="10"/>
        <color auto="1"/>
        <name val="Tahoma"/>
        <scheme val="none"/>
      </font>
      <fill>
        <patternFill patternType="none">
          <fgColor indexed="64"/>
          <bgColor indexed="65"/>
        </patternFill>
      </fill>
      <alignment horizontal="left" vertical="top" textRotation="0" wrapText="1" indent="0" justifyLastLine="0" shrinkToFit="0" readingOrder="0"/>
      <border diagonalUp="0" diagonalDown="0">
        <left style="thin">
          <color rgb="FF145128"/>
        </left>
        <right style="thin">
          <color rgb="FF145128"/>
        </right>
        <top style="thin">
          <color rgb="FF145128"/>
        </top>
        <bottom style="thin">
          <color rgb="FF145128"/>
        </bottom>
        <vertical/>
        <horizontal/>
      </border>
    </dxf>
    <dxf>
      <font>
        <b val="0"/>
        <i val="0"/>
        <strike val="0"/>
        <condense val="0"/>
        <extend val="0"/>
        <outline val="0"/>
        <shadow val="0"/>
        <u val="none"/>
        <vertAlign val="baseline"/>
        <sz val="10"/>
        <color auto="1"/>
        <name val="Tahoma"/>
        <scheme val="none"/>
      </font>
      <fill>
        <patternFill patternType="none">
          <fgColor indexed="64"/>
          <bgColor indexed="65"/>
        </patternFill>
      </fill>
      <alignment horizontal="general" vertical="top" textRotation="0" wrapText="1" indent="0" justifyLastLine="0" shrinkToFit="0" readingOrder="0"/>
      <border diagonalUp="0" diagonalDown="0">
        <left style="thin">
          <color rgb="FF145128"/>
        </left>
        <right style="thin">
          <color rgb="FF145128"/>
        </right>
        <top/>
        <bottom/>
        <vertical/>
        <horizontal/>
      </border>
    </dxf>
    <dxf>
      <fill>
        <patternFill patternType="none">
          <fgColor indexed="64"/>
          <bgColor indexed="65"/>
        </patternFill>
      </fill>
      <alignment horizontal="left" vertical="top" textRotation="0" wrapText="1" indent="0" justifyLastLine="0" shrinkToFit="0" readingOrder="0"/>
      <border diagonalUp="0" diagonalDown="0">
        <left/>
        <right style="thin">
          <color rgb="FF145128"/>
        </right>
        <top/>
        <bottom/>
        <vertical/>
        <horizontal/>
      </border>
    </dxf>
    <dxf>
      <border outline="0">
        <bottom style="thin">
          <color rgb="FF145128"/>
        </bottom>
      </border>
    </dxf>
    <dxf>
      <border outline="0">
        <left style="thin">
          <color rgb="FF145128"/>
        </left>
        <right style="thin">
          <color rgb="FF145128"/>
        </right>
        <top style="thin">
          <color rgb="FF145128"/>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[Soya production data 2021-2022.xlsx]pivot tables!PivotTable3</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Production</a:t>
            </a:r>
            <a:r>
              <a:rPr lang="en-US" sz="1100" b="1" baseline="0"/>
              <a:t> by province</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c:spPr>
        <c:marker>
          <c:spPr>
            <a:solidFill>
              <a:schemeClr val="accent6"/>
            </a:solidFill>
            <a:ln w="9525">
              <a:solidFill>
                <a:schemeClr val="accent6"/>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6"/>
            </a:solidFill>
            <a:ln>
              <a:noFill/>
            </a:ln>
            <a:effectLst/>
          </c:spPr>
          <c:invertIfNegative val="0"/>
          <c:cat>
            <c:strRef>
              <c:f>'pivot tables'!$A$4:$A$14</c:f>
              <c:strCache>
                <c:ptCount val="10"/>
                <c:pt idx="0">
                  <c:v>Central</c:v>
                </c:pt>
                <c:pt idx="1">
                  <c:v>Eastern</c:v>
                </c:pt>
                <c:pt idx="2">
                  <c:v>Copperbelt</c:v>
                </c:pt>
                <c:pt idx="3">
                  <c:v>Lusaka</c:v>
                </c:pt>
                <c:pt idx="4">
                  <c:v>Southern</c:v>
                </c:pt>
                <c:pt idx="5">
                  <c:v>Northern</c:v>
                </c:pt>
                <c:pt idx="6">
                  <c:v>Muchinga</c:v>
                </c:pt>
                <c:pt idx="7">
                  <c:v>North Western</c:v>
                </c:pt>
                <c:pt idx="8">
                  <c:v>Luapula</c:v>
                </c:pt>
                <c:pt idx="9">
                  <c:v>Western</c:v>
                </c:pt>
              </c:strCache>
            </c:strRef>
          </c:cat>
          <c:val>
            <c:numRef>
              <c:f>'pivot tables'!$B$4:$B$14</c:f>
              <c:numCache>
                <c:formatCode>General</c:formatCode>
                <c:ptCount val="10"/>
                <c:pt idx="0">
                  <c:v>179907</c:v>
                </c:pt>
                <c:pt idx="1">
                  <c:v>122608</c:v>
                </c:pt>
                <c:pt idx="2">
                  <c:v>58234</c:v>
                </c:pt>
                <c:pt idx="3">
                  <c:v>24666</c:v>
                </c:pt>
                <c:pt idx="4">
                  <c:v>22597</c:v>
                </c:pt>
                <c:pt idx="5">
                  <c:v>13525</c:v>
                </c:pt>
                <c:pt idx="6">
                  <c:v>5534</c:v>
                </c:pt>
                <c:pt idx="7">
                  <c:v>4556</c:v>
                </c:pt>
                <c:pt idx="8">
                  <c:v>3723</c:v>
                </c:pt>
                <c:pt idx="9">
                  <c:v>3332</c:v>
                </c:pt>
              </c:numCache>
            </c:numRef>
          </c:val>
          <c:extLst>
            <c:ext xmlns:c16="http://schemas.microsoft.com/office/drawing/2014/chart" uri="{C3380CC4-5D6E-409C-BE32-E72D297353CC}">
              <c16:uniqueId val="{00000000-A869-4765-B52C-05A77CEDEEE3}"/>
            </c:ext>
          </c:extLst>
        </c:ser>
        <c:dLbls>
          <c:showLegendKey val="0"/>
          <c:showVal val="0"/>
          <c:showCatName val="0"/>
          <c:showSerName val="0"/>
          <c:showPercent val="0"/>
          <c:showBubbleSize val="0"/>
        </c:dLbls>
        <c:gapWidth val="219"/>
        <c:overlap val="-27"/>
        <c:axId val="1234738143"/>
        <c:axId val="1234739391"/>
      </c:barChart>
      <c:catAx>
        <c:axId val="123473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Province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39391"/>
        <c:crosses val="autoZero"/>
        <c:auto val="1"/>
        <c:lblAlgn val="ctr"/>
        <c:lblOffset val="100"/>
        <c:noMultiLvlLbl val="0"/>
      </c:catAx>
      <c:valAx>
        <c:axId val="1234739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Production</a:t>
                </a:r>
                <a:r>
                  <a:rPr lang="en-US" baseline="0"/>
                  <a:t> (MT)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38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[Soya production data 2021-2022.xlsx]pivot tables!PivotTable4</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Hectares Planted Vs Hectares Harvested</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w="28575" cap="rnd">
            <a:solidFill>
              <a:schemeClr val="accent6"/>
            </a:solidFill>
            <a:round/>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ln w="28575" cap="rnd">
            <a:solidFill>
              <a:schemeClr val="accent6"/>
            </a:solidFill>
            <a:round/>
          </a:ln>
          <a:effectLst/>
        </c:spPr>
        <c:marker>
          <c:symbol val="none"/>
        </c:marker>
      </c:pivotFmt>
      <c:pivotFmt>
        <c:idx val="7"/>
        <c:spPr>
          <a:ln w="28575" cap="rnd">
            <a:solidFill>
              <a:schemeClr val="accent6"/>
            </a:solidFill>
            <a:round/>
          </a:ln>
          <a:effectLst/>
        </c:spPr>
        <c:marker>
          <c:symbol val="none"/>
        </c:marker>
      </c:pivotFmt>
    </c:pivotFmts>
    <c:plotArea>
      <c:layout/>
      <c:lineChart>
        <c:grouping val="stacked"/>
        <c:varyColors val="0"/>
        <c:ser>
          <c:idx val="0"/>
          <c:order val="0"/>
          <c:tx>
            <c:strRef>
              <c:f>'pivot tables'!$B$20</c:f>
              <c:strCache>
                <c:ptCount val="1"/>
                <c:pt idx="0">
                  <c:v>Sum of Hectares Planted</c:v>
                </c:pt>
              </c:strCache>
            </c:strRef>
          </c:tx>
          <c:spPr>
            <a:ln w="28575" cap="rnd">
              <a:solidFill>
                <a:schemeClr val="accent6">
                  <a:shade val="76000"/>
                </a:schemeClr>
              </a:solidFill>
              <a:round/>
            </a:ln>
            <a:effectLst/>
          </c:spPr>
          <c:marker>
            <c:symbol val="none"/>
          </c:marker>
          <c:cat>
            <c:strRef>
              <c:f>'pivot tables'!$A$21:$A$31</c:f>
              <c:strCache>
                <c:ptCount val="10"/>
                <c:pt idx="0">
                  <c:v>Central</c:v>
                </c:pt>
                <c:pt idx="1">
                  <c:v>Copperbelt</c:v>
                </c:pt>
                <c:pt idx="2">
                  <c:v>Eastern</c:v>
                </c:pt>
                <c:pt idx="3">
                  <c:v>Luapula</c:v>
                </c:pt>
                <c:pt idx="4">
                  <c:v>Lusaka</c:v>
                </c:pt>
                <c:pt idx="5">
                  <c:v>Muchinga</c:v>
                </c:pt>
                <c:pt idx="6">
                  <c:v>North Western</c:v>
                </c:pt>
                <c:pt idx="7">
                  <c:v>Northern</c:v>
                </c:pt>
                <c:pt idx="8">
                  <c:v>Southern</c:v>
                </c:pt>
                <c:pt idx="9">
                  <c:v>Western</c:v>
                </c:pt>
              </c:strCache>
            </c:strRef>
          </c:cat>
          <c:val>
            <c:numRef>
              <c:f>'pivot tables'!$B$21:$B$31</c:f>
              <c:numCache>
                <c:formatCode>General</c:formatCode>
                <c:ptCount val="10"/>
                <c:pt idx="0">
                  <c:v>164755</c:v>
                </c:pt>
                <c:pt idx="1">
                  <c:v>31705</c:v>
                </c:pt>
                <c:pt idx="2">
                  <c:v>160185</c:v>
                </c:pt>
                <c:pt idx="3">
                  <c:v>3225</c:v>
                </c:pt>
                <c:pt idx="4">
                  <c:v>17883</c:v>
                </c:pt>
                <c:pt idx="5">
                  <c:v>6813</c:v>
                </c:pt>
                <c:pt idx="6">
                  <c:v>6313</c:v>
                </c:pt>
                <c:pt idx="7">
                  <c:v>17401</c:v>
                </c:pt>
                <c:pt idx="8">
                  <c:v>24691</c:v>
                </c:pt>
                <c:pt idx="9">
                  <c:v>3305</c:v>
                </c:pt>
              </c:numCache>
            </c:numRef>
          </c:val>
          <c:smooth val="0"/>
          <c:extLst>
            <c:ext xmlns:c16="http://schemas.microsoft.com/office/drawing/2014/chart" uri="{C3380CC4-5D6E-409C-BE32-E72D297353CC}">
              <c16:uniqueId val="{00000000-A5BF-4A52-A004-843E4CB5D284}"/>
            </c:ext>
          </c:extLst>
        </c:ser>
        <c:ser>
          <c:idx val="1"/>
          <c:order val="1"/>
          <c:tx>
            <c:strRef>
              <c:f>'pivot tables'!$C$20</c:f>
              <c:strCache>
                <c:ptCount val="1"/>
                <c:pt idx="0">
                  <c:v>Sum of Hectares Harvested</c:v>
                </c:pt>
              </c:strCache>
            </c:strRef>
          </c:tx>
          <c:spPr>
            <a:ln w="28575" cap="rnd">
              <a:solidFill>
                <a:schemeClr val="accent6">
                  <a:tint val="77000"/>
                </a:schemeClr>
              </a:solidFill>
              <a:round/>
            </a:ln>
            <a:effectLst/>
          </c:spPr>
          <c:marker>
            <c:symbol val="none"/>
          </c:marker>
          <c:cat>
            <c:strRef>
              <c:f>'pivot tables'!$A$21:$A$31</c:f>
              <c:strCache>
                <c:ptCount val="10"/>
                <c:pt idx="0">
                  <c:v>Central</c:v>
                </c:pt>
                <c:pt idx="1">
                  <c:v>Copperbelt</c:v>
                </c:pt>
                <c:pt idx="2">
                  <c:v>Eastern</c:v>
                </c:pt>
                <c:pt idx="3">
                  <c:v>Luapula</c:v>
                </c:pt>
                <c:pt idx="4">
                  <c:v>Lusaka</c:v>
                </c:pt>
                <c:pt idx="5">
                  <c:v>Muchinga</c:v>
                </c:pt>
                <c:pt idx="6">
                  <c:v>North Western</c:v>
                </c:pt>
                <c:pt idx="7">
                  <c:v>Northern</c:v>
                </c:pt>
                <c:pt idx="8">
                  <c:v>Southern</c:v>
                </c:pt>
                <c:pt idx="9">
                  <c:v>Western</c:v>
                </c:pt>
              </c:strCache>
            </c:strRef>
          </c:cat>
          <c:val>
            <c:numRef>
              <c:f>'pivot tables'!$C$21:$C$31</c:f>
              <c:numCache>
                <c:formatCode>General</c:formatCode>
                <c:ptCount val="10"/>
                <c:pt idx="0">
                  <c:v>158553</c:v>
                </c:pt>
                <c:pt idx="1">
                  <c:v>31007</c:v>
                </c:pt>
                <c:pt idx="2">
                  <c:v>153607</c:v>
                </c:pt>
                <c:pt idx="3">
                  <c:v>3124</c:v>
                </c:pt>
                <c:pt idx="4">
                  <c:v>16275</c:v>
                </c:pt>
                <c:pt idx="5">
                  <c:v>6319</c:v>
                </c:pt>
                <c:pt idx="6">
                  <c:v>6112</c:v>
                </c:pt>
                <c:pt idx="7">
                  <c:v>17118</c:v>
                </c:pt>
                <c:pt idx="8">
                  <c:v>20454</c:v>
                </c:pt>
                <c:pt idx="9">
                  <c:v>3274</c:v>
                </c:pt>
              </c:numCache>
            </c:numRef>
          </c:val>
          <c:smooth val="0"/>
          <c:extLst>
            <c:ext xmlns:c16="http://schemas.microsoft.com/office/drawing/2014/chart" uri="{C3380CC4-5D6E-409C-BE32-E72D297353CC}">
              <c16:uniqueId val="{00000001-A5BF-4A52-A004-843E4CB5D284}"/>
            </c:ext>
          </c:extLst>
        </c:ser>
        <c:dLbls>
          <c:showLegendKey val="0"/>
          <c:showVal val="0"/>
          <c:showCatName val="0"/>
          <c:showSerName val="0"/>
          <c:showPercent val="0"/>
          <c:showBubbleSize val="0"/>
        </c:dLbls>
        <c:smooth val="0"/>
        <c:axId val="1307029807"/>
        <c:axId val="1307021903"/>
      </c:lineChart>
      <c:catAx>
        <c:axId val="130702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21903"/>
        <c:crosses val="autoZero"/>
        <c:auto val="1"/>
        <c:lblAlgn val="ctr"/>
        <c:lblOffset val="100"/>
        <c:noMultiLvlLbl val="0"/>
      </c:catAx>
      <c:valAx>
        <c:axId val="130702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29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[Soya production data 2021-2022.xlsx]pivot tables!PivotTable5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Average Yield by Province</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pPr>
            <a:solidFill>
              <a:schemeClr val="accent6"/>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tables'!$C$35</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6A-4E6A-9975-C17A1C9EF22F}"/>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6A-4E6A-9975-C17A1C9EF22F}"/>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6A-4E6A-9975-C17A1C9EF22F}"/>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56A-4E6A-9975-C17A1C9EF22F}"/>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56A-4E6A-9975-C17A1C9EF22F}"/>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56A-4E6A-9975-C17A1C9EF22F}"/>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56A-4E6A-9975-C17A1C9EF22F}"/>
              </c:ext>
            </c:extLst>
          </c:dPt>
          <c:dPt>
            <c:idx val="7"/>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56A-4E6A-9975-C17A1C9EF22F}"/>
              </c:ext>
            </c:extLst>
          </c:dPt>
          <c:dPt>
            <c:idx val="8"/>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F56A-4E6A-9975-C17A1C9EF22F}"/>
              </c:ext>
            </c:extLst>
          </c:dPt>
          <c:dPt>
            <c:idx val="9"/>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F56A-4E6A-9975-C17A1C9EF22F}"/>
              </c:ext>
            </c:extLst>
          </c:dPt>
          <c:dLbls>
            <c:delete val="1"/>
          </c:dLbls>
          <c:cat>
            <c:strRef>
              <c:f>'pivot tables'!$B$36:$B$46</c:f>
              <c:strCache>
                <c:ptCount val="10"/>
                <c:pt idx="0">
                  <c:v>Central</c:v>
                </c:pt>
                <c:pt idx="1">
                  <c:v>Copperbelt</c:v>
                </c:pt>
                <c:pt idx="2">
                  <c:v>Eastern</c:v>
                </c:pt>
                <c:pt idx="3">
                  <c:v>Luapula</c:v>
                </c:pt>
                <c:pt idx="4">
                  <c:v>Lusaka</c:v>
                </c:pt>
                <c:pt idx="5">
                  <c:v>Muchinga</c:v>
                </c:pt>
                <c:pt idx="6">
                  <c:v>North Western</c:v>
                </c:pt>
                <c:pt idx="7">
                  <c:v>Northern</c:v>
                </c:pt>
                <c:pt idx="8">
                  <c:v>Southern</c:v>
                </c:pt>
                <c:pt idx="9">
                  <c:v>Western</c:v>
                </c:pt>
              </c:strCache>
            </c:strRef>
          </c:cat>
          <c:val>
            <c:numRef>
              <c:f>'pivot tables'!$C$36:$C$46</c:f>
              <c:numCache>
                <c:formatCode>General</c:formatCode>
                <c:ptCount val="10"/>
                <c:pt idx="0">
                  <c:v>1.3071428571428569</c:v>
                </c:pt>
                <c:pt idx="1">
                  <c:v>1.5539999999999998</c:v>
                </c:pt>
                <c:pt idx="2">
                  <c:v>0.80857142857142861</c:v>
                </c:pt>
                <c:pt idx="3">
                  <c:v>0.98857142857142855</c:v>
                </c:pt>
                <c:pt idx="4">
                  <c:v>1.31</c:v>
                </c:pt>
                <c:pt idx="5">
                  <c:v>0.65499999999999992</c:v>
                </c:pt>
                <c:pt idx="6">
                  <c:v>0.72</c:v>
                </c:pt>
                <c:pt idx="7">
                  <c:v>0.94222222222222207</c:v>
                </c:pt>
                <c:pt idx="8">
                  <c:v>0.79000000000000015</c:v>
                </c:pt>
                <c:pt idx="9">
                  <c:v>0.41666666666666669</c:v>
                </c:pt>
              </c:numCache>
            </c:numRef>
          </c:val>
          <c:extLst>
            <c:ext xmlns:c16="http://schemas.microsoft.com/office/drawing/2014/chart" uri="{C3380CC4-5D6E-409C-BE32-E72D297353CC}">
              <c16:uniqueId val="{00000000-A6D1-467F-BA2D-DB9F06FA569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[Soya production data 2021-2022.xlsx]pivot tables!PivotTable3</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Production</a:t>
            </a:r>
            <a:r>
              <a:rPr lang="en-US" sz="1100" b="1" baseline="0"/>
              <a:t> by province</a:t>
            </a:r>
            <a:endParaRPr lang="en-US"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c:spPr>
        <c:marker>
          <c:spPr>
            <a:solidFill>
              <a:schemeClr val="accent6"/>
            </a:solidFill>
            <a:ln w="9525">
              <a:solidFill>
                <a:schemeClr val="accent6"/>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6"/>
            </a:solidFill>
            <a:ln>
              <a:noFill/>
            </a:ln>
            <a:effectLst/>
          </c:spPr>
          <c:invertIfNegative val="0"/>
          <c:cat>
            <c:strRef>
              <c:f>'pivot tables'!$A$4:$A$14</c:f>
              <c:strCache>
                <c:ptCount val="10"/>
                <c:pt idx="0">
                  <c:v>Central</c:v>
                </c:pt>
                <c:pt idx="1">
                  <c:v>Eastern</c:v>
                </c:pt>
                <c:pt idx="2">
                  <c:v>Copperbelt</c:v>
                </c:pt>
                <c:pt idx="3">
                  <c:v>Lusaka</c:v>
                </c:pt>
                <c:pt idx="4">
                  <c:v>Southern</c:v>
                </c:pt>
                <c:pt idx="5">
                  <c:v>Northern</c:v>
                </c:pt>
                <c:pt idx="6">
                  <c:v>Muchinga</c:v>
                </c:pt>
                <c:pt idx="7">
                  <c:v>North Western</c:v>
                </c:pt>
                <c:pt idx="8">
                  <c:v>Luapula</c:v>
                </c:pt>
                <c:pt idx="9">
                  <c:v>Western</c:v>
                </c:pt>
              </c:strCache>
            </c:strRef>
          </c:cat>
          <c:val>
            <c:numRef>
              <c:f>'pivot tables'!$B$4:$B$14</c:f>
              <c:numCache>
                <c:formatCode>General</c:formatCode>
                <c:ptCount val="10"/>
                <c:pt idx="0">
                  <c:v>179907</c:v>
                </c:pt>
                <c:pt idx="1">
                  <c:v>122608</c:v>
                </c:pt>
                <c:pt idx="2">
                  <c:v>58234</c:v>
                </c:pt>
                <c:pt idx="3">
                  <c:v>24666</c:v>
                </c:pt>
                <c:pt idx="4">
                  <c:v>22597</c:v>
                </c:pt>
                <c:pt idx="5">
                  <c:v>13525</c:v>
                </c:pt>
                <c:pt idx="6">
                  <c:v>5534</c:v>
                </c:pt>
                <c:pt idx="7">
                  <c:v>4556</c:v>
                </c:pt>
                <c:pt idx="8">
                  <c:v>3723</c:v>
                </c:pt>
                <c:pt idx="9">
                  <c:v>3332</c:v>
                </c:pt>
              </c:numCache>
            </c:numRef>
          </c:val>
          <c:extLst>
            <c:ext xmlns:c16="http://schemas.microsoft.com/office/drawing/2014/chart" uri="{C3380CC4-5D6E-409C-BE32-E72D297353CC}">
              <c16:uniqueId val="{00000000-2EC2-447C-B639-29BF5DC19A99}"/>
            </c:ext>
          </c:extLst>
        </c:ser>
        <c:dLbls>
          <c:showLegendKey val="0"/>
          <c:showVal val="0"/>
          <c:showCatName val="0"/>
          <c:showSerName val="0"/>
          <c:showPercent val="0"/>
          <c:showBubbleSize val="0"/>
        </c:dLbls>
        <c:gapWidth val="219"/>
        <c:overlap val="-27"/>
        <c:axId val="1234738143"/>
        <c:axId val="1234739391"/>
      </c:barChart>
      <c:catAx>
        <c:axId val="123473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Province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39391"/>
        <c:crosses val="autoZero"/>
        <c:auto val="1"/>
        <c:lblAlgn val="ctr"/>
        <c:lblOffset val="100"/>
        <c:noMultiLvlLbl val="0"/>
      </c:catAx>
      <c:valAx>
        <c:axId val="1234739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Production</a:t>
                </a:r>
                <a:r>
                  <a:rPr lang="en-US" baseline="0"/>
                  <a:t> (MT)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38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[Soya production data 2021-2022.xlsx]pivot tables!PivotTable5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Average Yield by Province</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pPr>
            <a:solidFill>
              <a:schemeClr val="accent6"/>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2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tables'!$C$35</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307-49AD-8D46-F15AB7BB72F5}"/>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307-49AD-8D46-F15AB7BB72F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307-49AD-8D46-F15AB7BB72F5}"/>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307-49AD-8D46-F15AB7BB72F5}"/>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307-49AD-8D46-F15AB7BB72F5}"/>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307-49AD-8D46-F15AB7BB72F5}"/>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307-49AD-8D46-F15AB7BB72F5}"/>
              </c:ext>
            </c:extLst>
          </c:dPt>
          <c:dPt>
            <c:idx val="7"/>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9307-49AD-8D46-F15AB7BB72F5}"/>
              </c:ext>
            </c:extLst>
          </c:dPt>
          <c:dPt>
            <c:idx val="8"/>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9307-49AD-8D46-F15AB7BB72F5}"/>
              </c:ext>
            </c:extLst>
          </c:dPt>
          <c:dPt>
            <c:idx val="9"/>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9307-49AD-8D46-F15AB7BB72F5}"/>
              </c:ext>
            </c:extLst>
          </c:dPt>
          <c:cat>
            <c:strRef>
              <c:f>'pivot tables'!$B$36:$B$46</c:f>
              <c:strCache>
                <c:ptCount val="10"/>
                <c:pt idx="0">
                  <c:v>Central</c:v>
                </c:pt>
                <c:pt idx="1">
                  <c:v>Copperbelt</c:v>
                </c:pt>
                <c:pt idx="2">
                  <c:v>Eastern</c:v>
                </c:pt>
                <c:pt idx="3">
                  <c:v>Luapula</c:v>
                </c:pt>
                <c:pt idx="4">
                  <c:v>Lusaka</c:v>
                </c:pt>
                <c:pt idx="5">
                  <c:v>Muchinga</c:v>
                </c:pt>
                <c:pt idx="6">
                  <c:v>North Western</c:v>
                </c:pt>
                <c:pt idx="7">
                  <c:v>Northern</c:v>
                </c:pt>
                <c:pt idx="8">
                  <c:v>Southern</c:v>
                </c:pt>
                <c:pt idx="9">
                  <c:v>Western</c:v>
                </c:pt>
              </c:strCache>
            </c:strRef>
          </c:cat>
          <c:val>
            <c:numRef>
              <c:f>'pivot tables'!$C$36:$C$46</c:f>
              <c:numCache>
                <c:formatCode>General</c:formatCode>
                <c:ptCount val="10"/>
                <c:pt idx="0">
                  <c:v>1.3071428571428569</c:v>
                </c:pt>
                <c:pt idx="1">
                  <c:v>1.5539999999999998</c:v>
                </c:pt>
                <c:pt idx="2">
                  <c:v>0.80857142857142861</c:v>
                </c:pt>
                <c:pt idx="3">
                  <c:v>0.98857142857142855</c:v>
                </c:pt>
                <c:pt idx="4">
                  <c:v>1.31</c:v>
                </c:pt>
                <c:pt idx="5">
                  <c:v>0.65499999999999992</c:v>
                </c:pt>
                <c:pt idx="6">
                  <c:v>0.72</c:v>
                </c:pt>
                <c:pt idx="7">
                  <c:v>0.94222222222222207</c:v>
                </c:pt>
                <c:pt idx="8">
                  <c:v>0.79000000000000015</c:v>
                </c:pt>
                <c:pt idx="9">
                  <c:v>0.41666666666666669</c:v>
                </c:pt>
              </c:numCache>
            </c:numRef>
          </c:val>
          <c:extLst>
            <c:ext xmlns:c16="http://schemas.microsoft.com/office/drawing/2014/chart" uri="{C3380CC4-5D6E-409C-BE32-E72D297353CC}">
              <c16:uniqueId val="{00000014-9307-49AD-8D46-F15AB7BB72F5}"/>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[Soya production data 2021-2022.xlsx]pivot tables!PivotTable4</c:name>
    <c:fmtId val="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Hectares Planted Vs Hectares Harvested by Province</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w="28575" cap="rnd">
            <a:solidFill>
              <a:schemeClr val="accent6"/>
            </a:solidFill>
            <a:round/>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w="28575" cap="rnd">
            <a:solidFill>
              <a:schemeClr val="accent6"/>
            </a:solidFill>
            <a:round/>
          </a:ln>
          <a:effectLst/>
        </c:spPr>
        <c:marker>
          <c:symbol val="none"/>
        </c:marker>
      </c:pivotFmt>
      <c:pivotFmt>
        <c:idx val="7"/>
        <c:spPr>
          <a:solidFill>
            <a:schemeClr val="accent6"/>
          </a:solidFill>
          <a:ln w="28575" cap="rnd">
            <a:solidFill>
              <a:schemeClr val="accent6"/>
            </a:solidFill>
            <a:round/>
          </a:ln>
          <a:effectLst/>
        </c:spPr>
        <c:marker>
          <c:symbol val="none"/>
        </c:marker>
      </c:pivotFmt>
      <c:pivotFmt>
        <c:idx val="8"/>
        <c:spPr>
          <a:ln w="28575" cap="rnd">
            <a:solidFill>
              <a:schemeClr val="accent6"/>
            </a:solidFill>
            <a:round/>
          </a:ln>
          <a:effectLst/>
        </c:spPr>
        <c:marker>
          <c:symbol val="none"/>
        </c:marker>
      </c:pivotFmt>
      <c:pivotFmt>
        <c:idx val="9"/>
        <c:spPr>
          <a:ln w="28575" cap="rnd">
            <a:solidFill>
              <a:schemeClr val="accent6"/>
            </a:solidFill>
            <a:round/>
          </a:ln>
          <a:effectLst/>
        </c:spPr>
        <c:marker>
          <c:symbol val="none"/>
        </c:marker>
      </c:pivotFmt>
    </c:pivotFmts>
    <c:plotArea>
      <c:layout/>
      <c:lineChart>
        <c:grouping val="stacked"/>
        <c:varyColors val="0"/>
        <c:ser>
          <c:idx val="0"/>
          <c:order val="0"/>
          <c:tx>
            <c:strRef>
              <c:f>'pivot tables'!$B$20</c:f>
              <c:strCache>
                <c:ptCount val="1"/>
                <c:pt idx="0">
                  <c:v>Sum of Hectares Planted</c:v>
                </c:pt>
              </c:strCache>
            </c:strRef>
          </c:tx>
          <c:spPr>
            <a:ln w="28575" cap="rnd">
              <a:solidFill>
                <a:schemeClr val="accent6">
                  <a:shade val="76000"/>
                </a:schemeClr>
              </a:solidFill>
              <a:round/>
            </a:ln>
            <a:effectLst/>
          </c:spPr>
          <c:marker>
            <c:symbol val="none"/>
          </c:marker>
          <c:cat>
            <c:strRef>
              <c:f>'pivot tables'!$A$21:$A$31</c:f>
              <c:strCache>
                <c:ptCount val="10"/>
                <c:pt idx="0">
                  <c:v>Central</c:v>
                </c:pt>
                <c:pt idx="1">
                  <c:v>Copperbelt</c:v>
                </c:pt>
                <c:pt idx="2">
                  <c:v>Eastern</c:v>
                </c:pt>
                <c:pt idx="3">
                  <c:v>Luapula</c:v>
                </c:pt>
                <c:pt idx="4">
                  <c:v>Lusaka</c:v>
                </c:pt>
                <c:pt idx="5">
                  <c:v>Muchinga</c:v>
                </c:pt>
                <c:pt idx="6">
                  <c:v>North Western</c:v>
                </c:pt>
                <c:pt idx="7">
                  <c:v>Northern</c:v>
                </c:pt>
                <c:pt idx="8">
                  <c:v>Southern</c:v>
                </c:pt>
                <c:pt idx="9">
                  <c:v>Western</c:v>
                </c:pt>
              </c:strCache>
            </c:strRef>
          </c:cat>
          <c:val>
            <c:numRef>
              <c:f>'pivot tables'!$B$21:$B$31</c:f>
              <c:numCache>
                <c:formatCode>General</c:formatCode>
                <c:ptCount val="10"/>
                <c:pt idx="0">
                  <c:v>164755</c:v>
                </c:pt>
                <c:pt idx="1">
                  <c:v>31705</c:v>
                </c:pt>
                <c:pt idx="2">
                  <c:v>160185</c:v>
                </c:pt>
                <c:pt idx="3">
                  <c:v>3225</c:v>
                </c:pt>
                <c:pt idx="4">
                  <c:v>17883</c:v>
                </c:pt>
                <c:pt idx="5">
                  <c:v>6813</c:v>
                </c:pt>
                <c:pt idx="6">
                  <c:v>6313</c:v>
                </c:pt>
                <c:pt idx="7">
                  <c:v>17401</c:v>
                </c:pt>
                <c:pt idx="8">
                  <c:v>24691</c:v>
                </c:pt>
                <c:pt idx="9">
                  <c:v>3305</c:v>
                </c:pt>
              </c:numCache>
            </c:numRef>
          </c:val>
          <c:smooth val="0"/>
          <c:extLst>
            <c:ext xmlns:c16="http://schemas.microsoft.com/office/drawing/2014/chart" uri="{C3380CC4-5D6E-409C-BE32-E72D297353CC}">
              <c16:uniqueId val="{00000000-B39D-47B2-A38A-50463C5156CC}"/>
            </c:ext>
          </c:extLst>
        </c:ser>
        <c:ser>
          <c:idx val="1"/>
          <c:order val="1"/>
          <c:tx>
            <c:strRef>
              <c:f>'pivot tables'!$C$20</c:f>
              <c:strCache>
                <c:ptCount val="1"/>
                <c:pt idx="0">
                  <c:v>Sum of Hectares Harvested</c:v>
                </c:pt>
              </c:strCache>
            </c:strRef>
          </c:tx>
          <c:spPr>
            <a:ln w="28575" cap="rnd">
              <a:solidFill>
                <a:schemeClr val="accent6">
                  <a:tint val="77000"/>
                </a:schemeClr>
              </a:solidFill>
              <a:round/>
            </a:ln>
            <a:effectLst/>
          </c:spPr>
          <c:marker>
            <c:symbol val="none"/>
          </c:marker>
          <c:cat>
            <c:strRef>
              <c:f>'pivot tables'!$A$21:$A$31</c:f>
              <c:strCache>
                <c:ptCount val="10"/>
                <c:pt idx="0">
                  <c:v>Central</c:v>
                </c:pt>
                <c:pt idx="1">
                  <c:v>Copperbelt</c:v>
                </c:pt>
                <c:pt idx="2">
                  <c:v>Eastern</c:v>
                </c:pt>
                <c:pt idx="3">
                  <c:v>Luapula</c:v>
                </c:pt>
                <c:pt idx="4">
                  <c:v>Lusaka</c:v>
                </c:pt>
                <c:pt idx="5">
                  <c:v>Muchinga</c:v>
                </c:pt>
                <c:pt idx="6">
                  <c:v>North Western</c:v>
                </c:pt>
                <c:pt idx="7">
                  <c:v>Northern</c:v>
                </c:pt>
                <c:pt idx="8">
                  <c:v>Southern</c:v>
                </c:pt>
                <c:pt idx="9">
                  <c:v>Western</c:v>
                </c:pt>
              </c:strCache>
            </c:strRef>
          </c:cat>
          <c:val>
            <c:numRef>
              <c:f>'pivot tables'!$C$21:$C$31</c:f>
              <c:numCache>
                <c:formatCode>General</c:formatCode>
                <c:ptCount val="10"/>
                <c:pt idx="0">
                  <c:v>158553</c:v>
                </c:pt>
                <c:pt idx="1">
                  <c:v>31007</c:v>
                </c:pt>
                <c:pt idx="2">
                  <c:v>153607</c:v>
                </c:pt>
                <c:pt idx="3">
                  <c:v>3124</c:v>
                </c:pt>
                <c:pt idx="4">
                  <c:v>16275</c:v>
                </c:pt>
                <c:pt idx="5">
                  <c:v>6319</c:v>
                </c:pt>
                <c:pt idx="6">
                  <c:v>6112</c:v>
                </c:pt>
                <c:pt idx="7">
                  <c:v>17118</c:v>
                </c:pt>
                <c:pt idx="8">
                  <c:v>20454</c:v>
                </c:pt>
                <c:pt idx="9">
                  <c:v>3274</c:v>
                </c:pt>
              </c:numCache>
            </c:numRef>
          </c:val>
          <c:smooth val="0"/>
          <c:extLst>
            <c:ext xmlns:c16="http://schemas.microsoft.com/office/drawing/2014/chart" uri="{C3380CC4-5D6E-409C-BE32-E72D297353CC}">
              <c16:uniqueId val="{00000001-B39D-47B2-A38A-50463C5156CC}"/>
            </c:ext>
          </c:extLst>
        </c:ser>
        <c:dLbls>
          <c:showLegendKey val="0"/>
          <c:showVal val="0"/>
          <c:showCatName val="0"/>
          <c:showSerName val="0"/>
          <c:showPercent val="0"/>
          <c:showBubbleSize val="0"/>
        </c:dLbls>
        <c:smooth val="0"/>
        <c:axId val="1307029807"/>
        <c:axId val="1307021903"/>
      </c:lineChart>
      <c:catAx>
        <c:axId val="1307029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Province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21903"/>
        <c:crosses val="autoZero"/>
        <c:auto val="1"/>
        <c:lblAlgn val="ctr"/>
        <c:lblOffset val="100"/>
        <c:noMultiLvlLbl val="0"/>
      </c:catAx>
      <c:valAx>
        <c:axId val="130702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Hectares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29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947736</xdr:colOff>
      <xdr:row>0</xdr:row>
      <xdr:rowOff>0</xdr:rowOff>
    </xdr:from>
    <xdr:to>
      <xdr:col>11</xdr:col>
      <xdr:colOff>47624</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671512</xdr:colOff>
      <xdr:row>17</xdr:row>
      <xdr:rowOff>171450</xdr:rowOff>
    </xdr:from>
    <xdr:to>
      <xdr:col>19</xdr:col>
      <xdr:colOff>171450</xdr:colOff>
      <xdr:row>38</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90487</xdr:colOff>
      <xdr:row>40</xdr:row>
      <xdr:rowOff>57150</xdr:rowOff>
    </xdr:from>
    <xdr:to>
      <xdr:col>17</xdr:col>
      <xdr:colOff>209550</xdr:colOff>
      <xdr:row>56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428625</xdr:colOff>
      <xdr:row>4</xdr:row>
      <xdr:rowOff>47624</xdr:rowOff>
    </xdr:from>
    <xdr:to>
      <xdr:col>13</xdr:col>
      <xdr:colOff>600075</xdr:colOff>
      <xdr:row>17</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17</xdr:row>
      <xdr:rowOff>133350</xdr:rowOff>
    </xdr:from>
    <xdr:to>
      <xdr:col>4</xdr:col>
      <xdr:colOff>290513</xdr:colOff>
      <xdr:row>33</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17</xdr:row>
      <xdr:rowOff>142876</xdr:rowOff>
    </xdr:from>
    <xdr:to>
      <xdr:col>14</xdr:col>
      <xdr:colOff>0</xdr:colOff>
      <xdr:row>33</xdr:row>
      <xdr:rowOff>85726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38100</xdr:rowOff>
    </xdr:from>
    <xdr:to>
      <xdr:col>2</xdr:col>
      <xdr:colOff>409575</xdr:colOff>
      <xdr:row>17</xdr:row>
      <xdr:rowOff>85725</xdr:rowOff>
    </xdr:to>
    <mc:AlternateContent xmlns:mc="http://schemas.openxmlformats.org/markup-compatibility/2006" xmlns:a14="http://schemas.microsoft.com/office/drawing/2010/main">
      <mc:Choice Requires="a14">
        <xdr:graphicFrame macro="">
          <xdr:nvGraphicFramePr>
            <xdr:cNvPr id="14" name="Select District"/>
            <xdr:cNvGraphicFramePr/>
          </xdr:nvGraphicFramePr>
          <xdr:xfrm>
            <a:off x="0" y="0"/>
            <a:ext cx="0" cy="0"/>
          </xdr:xfrm>
          <a:graphic>
            <a:graphicData uri="http://schemas.microsoft.com/office/drawing/2010/slicer">
              <sle:slicer xmlns:sle="http://schemas.microsoft.com/office/drawing/2010/slicer" name="Select District"/>
            </a:graphicData>
          </a:graphic>
        </xdr:graphicFrame>
      </mc:Choice>
      <mc:Fallback xmlns="">
        <xdr:sp macro="" textlink="">
          <xdr:nvSpPr>
            <xdr:cNvPr id="0" name=""/>
            <xdr:cNvSpPr>
              <a:spLocks noTextEdit="1"/>
            </xdr:cNvSpPr>
          </xdr:nvSpPr>
          <xdr:spPr>
            <a:xfrm>
              <a:off x="0" y="800100"/>
              <a:ext cx="16287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971.349405555557" createdVersion="6" refreshedVersion="6" minRefreshableVersion="3" recordCount="71">
  <cacheSource type="worksheet">
    <worksheetSource ref="A1:J72" sheet="Soya production data"/>
  </cacheSource>
  <cacheFields count="10">
    <cacheField name="Crop" numFmtId="0">
      <sharedItems containsBlank="1"/>
    </cacheField>
    <cacheField name="Province" numFmtId="0">
      <sharedItems count="10">
        <s v="Central"/>
        <s v="Copperbelt"/>
        <s v="Eastern"/>
        <s v="Luapula"/>
        <s v="Lusaka"/>
        <s v="Muchinga"/>
        <s v="Northern"/>
        <s v="North Western"/>
        <s v="Southern"/>
        <s v="Western"/>
      </sharedItems>
    </cacheField>
    <cacheField name="District" numFmtId="0">
      <sharedItems count="69">
        <s v="Chibombo"/>
        <s v="Kabwe"/>
        <s v="Kapiri Mposhi"/>
        <s v="Mkushi"/>
        <s v="Mumbwa"/>
        <s v="Serenje"/>
        <s v="Ndola"/>
        <s v="Chililabombwe"/>
        <s v="Chingola"/>
        <s v="Kalulushi"/>
        <s v="Kitwe"/>
        <s v="Luanshya"/>
        <s v="Lufwanyama"/>
        <s v="Masaiti"/>
        <s v="Mpongwe"/>
        <s v="Mufulira"/>
        <s v="Chadiza"/>
        <s v="Chipata"/>
        <s v="Katete"/>
        <s v="Lundazi"/>
        <s v="Mambwe"/>
        <s v="Nyimba"/>
        <s v="Petauke"/>
        <s v="Chienge"/>
        <s v="Kawambwa"/>
        <s v="Mansa"/>
        <s v="Milenge"/>
        <s v="Mwense"/>
        <s v="Nchelenge"/>
        <s v="Samfya"/>
        <s v="Chongwe"/>
        <s v="Kafue"/>
        <s v="Luangwa"/>
        <s v="Lusaka"/>
        <s v="Chama"/>
        <s v="Chinsali"/>
        <s v="Isoka"/>
        <s v="Mafinga"/>
        <s v="Mpika"/>
        <s v="Nakonde"/>
        <s v="Chilubi"/>
        <s v="Kaputa"/>
        <s v="Kasama"/>
        <s v="Luwingu"/>
        <s v="Mbala"/>
        <s v="Mporokoso"/>
        <s v="Mpulungu"/>
        <s v="Mungwi"/>
        <s v="Chavuma"/>
        <s v="Ikelenge"/>
        <s v="Kabompo"/>
        <s v="Kasempa"/>
        <s v="Mufumbwe"/>
        <s v="Mwinilunga"/>
        <s v="Solwezi"/>
        <s v="Zambezi"/>
        <s v="Choma"/>
        <s v="Gwembe"/>
        <s v="Itezhi0tezhi"/>
        <s v="Kalomo"/>
        <s v="Kazungula"/>
        <s v="Mazabuka"/>
        <s v="Monze"/>
        <s v="Namwala"/>
        <s v="Siavonga"/>
        <s v="Sinazongwe"/>
        <s v="Kaoma"/>
        <s v="Mongu"/>
        <s v="Shangombo"/>
      </sharedItems>
    </cacheField>
    <cacheField name="Hectares Planted" numFmtId="0">
      <sharedItems containsSemiMixedTypes="0" containsString="0" containsNumber="1" containsInteger="1" minValue="2" maxValue="46045"/>
    </cacheField>
    <cacheField name="Hectares Harvested" numFmtId="0">
      <sharedItems containsSemiMixedTypes="0" containsString="0" containsNumber="1" containsInteger="1" minValue="2" maxValue="44626"/>
    </cacheField>
    <cacheField name="Production (MT)" numFmtId="0">
      <sharedItems containsSemiMixedTypes="0" containsString="0" containsNumber="1" containsInteger="1" minValue="0" maxValue="50097" count="70">
        <n v="30706"/>
        <n v="10033"/>
        <n v="31859"/>
        <n v="50097"/>
        <n v="36810"/>
        <n v="20152"/>
        <n v="250"/>
        <n v="44"/>
        <n v="3317"/>
        <n v="186"/>
        <n v="1847"/>
        <n v="175"/>
        <n v="1732"/>
        <n v="2164"/>
        <n v="44759"/>
        <n v="42"/>
        <n v="3968"/>
        <n v="17562"/>
        <n v="32794"/>
        <n v="25853"/>
        <n v="28195"/>
        <n v="7268"/>
        <n v="1603"/>
        <n v="9333"/>
        <n v="62"/>
        <n v="1904"/>
        <n v="569"/>
        <n v="80"/>
        <n v="314"/>
        <n v="204"/>
        <n v="590"/>
        <n v="14489"/>
        <n v="9688"/>
        <n v="4"/>
        <n v="485"/>
        <n v="158"/>
        <n v="684"/>
        <n v="168"/>
        <n v="1205"/>
        <n v="3054"/>
        <n v="265"/>
        <n v="2729"/>
        <n v="99"/>
        <n v="253"/>
        <n v="2015"/>
        <n v="937"/>
        <n v="1308"/>
        <n v="1756"/>
        <n v="513"/>
        <n v="3915"/>
        <n v="2"/>
        <n v="15"/>
        <n v="77"/>
        <n v="1309"/>
        <n v="1048"/>
        <n v="622"/>
        <n v="1472"/>
        <n v="11"/>
        <n v="1318"/>
        <n v="321"/>
        <n v="1857"/>
        <n v="5416"/>
        <n v="1112"/>
        <n v="9999"/>
        <n v="1873"/>
        <n v="252"/>
        <n v="434"/>
        <n v="3289"/>
        <n v="0"/>
        <n v="43"/>
      </sharedItems>
    </cacheField>
    <cacheField name="Yield (MT/ Ha)" numFmtId="0">
      <sharedItems containsSemiMixedTypes="0" containsString="0" containsNumber="1" minValue="0" maxValue="3.25" count="54">
        <n v="0.97"/>
        <n v="1.78"/>
        <n v="0.82"/>
        <n v="1.52"/>
        <n v="0.93"/>
        <n v="1.25"/>
        <n v="1.88"/>
        <n v="1"/>
        <n v="2.68"/>
        <n v="0.78"/>
        <n v="2.2200000000000002"/>
        <n v="0.56999999999999995"/>
        <n v="0.75"/>
        <n v="0.9"/>
        <n v="1.94"/>
        <n v="1.45"/>
        <n v="3.25"/>
        <n v="0.71"/>
        <n v="0.73"/>
        <n v="0.83"/>
        <n v="0.85"/>
        <n v="0.34"/>
        <n v="1.1100000000000001"/>
        <n v="1.36"/>
        <n v="0.68"/>
        <n v="0.81"/>
        <n v="1.41"/>
        <n v="1.31"/>
        <n v="7.0000000000000007E-2"/>
        <n v="2.4500000000000002"/>
        <n v="0.62"/>
        <n v="0.63"/>
        <n v="0.36"/>
        <n v="0.65"/>
        <n v="1.1499999999999999"/>
        <n v="0.52"/>
        <n v="2.61"/>
        <n v="0.47"/>
        <n v="0.38"/>
        <n v="0.79"/>
        <n v="0.55000000000000004"/>
        <n v="0.72"/>
        <n v="0.69"/>
        <n v="0.77"/>
        <n v="0.76"/>
        <n v="0.37"/>
        <n v="0.56000000000000005"/>
        <n v="0.44"/>
        <n v="1.02"/>
        <n v="1.67"/>
        <n v="0.5"/>
        <n v="1.1000000000000001"/>
        <n v="0"/>
        <n v="0.15"/>
      </sharedItems>
    </cacheField>
    <cacheField name="Sales (MT)" numFmtId="0">
      <sharedItems containsSemiMixedTypes="0" containsString="0" containsNumber="1" containsInteger="1" minValue="0" maxValue="42239"/>
    </cacheField>
    <cacheField name="Basal (MT)" numFmtId="0">
      <sharedItems containsSemiMixedTypes="0" containsString="0" containsNumber="1" containsInteger="1" minValue="0" maxValue="5268"/>
    </cacheField>
    <cacheField name="Top (MT)" numFmtId="0">
      <sharedItems containsSemiMixedTypes="0" containsString="0" containsNumber="1" containsInteger="1" minValue="0" maxValue="111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1">
  <r>
    <s v="Soya beans"/>
    <x v="0"/>
    <x v="0"/>
    <n v="31634"/>
    <n v="29798"/>
    <x v="0"/>
    <x v="0"/>
    <n v="18754"/>
    <n v="899"/>
    <n v="121"/>
  </r>
  <r>
    <m/>
    <x v="0"/>
    <x v="1"/>
    <n v="5633"/>
    <n v="5197"/>
    <x v="1"/>
    <x v="1"/>
    <n v="7060"/>
    <n v="365"/>
    <n v="94"/>
  </r>
  <r>
    <m/>
    <x v="0"/>
    <x v="2"/>
    <n v="38913"/>
    <n v="37935"/>
    <x v="2"/>
    <x v="2"/>
    <n v="23810"/>
    <n v="95"/>
    <n v="21"/>
  </r>
  <r>
    <m/>
    <x v="0"/>
    <x v="3"/>
    <n v="32990"/>
    <n v="31128"/>
    <x v="3"/>
    <x v="3"/>
    <n v="42239"/>
    <n v="1240"/>
    <n v="1118"/>
  </r>
  <r>
    <m/>
    <x v="0"/>
    <x v="4"/>
    <n v="39391"/>
    <n v="38345"/>
    <x v="4"/>
    <x v="4"/>
    <n v="22653"/>
    <n v="755"/>
    <n v="318"/>
  </r>
  <r>
    <m/>
    <x v="0"/>
    <x v="5"/>
    <n v="16061"/>
    <n v="16017"/>
    <x v="5"/>
    <x v="5"/>
    <n v="16629"/>
    <n v="926"/>
    <n v="9"/>
  </r>
  <r>
    <m/>
    <x v="0"/>
    <x v="6"/>
    <n v="133"/>
    <n v="133"/>
    <x v="6"/>
    <x v="6"/>
    <n v="250"/>
    <n v="0"/>
    <n v="0"/>
  </r>
  <r>
    <m/>
    <x v="1"/>
    <x v="7"/>
    <n v="44"/>
    <n v="44"/>
    <x v="7"/>
    <x v="7"/>
    <n v="19"/>
    <n v="4"/>
    <n v="1"/>
  </r>
  <r>
    <m/>
    <x v="1"/>
    <x v="8"/>
    <n v="1237"/>
    <n v="1237"/>
    <x v="8"/>
    <x v="8"/>
    <n v="3161"/>
    <n v="28"/>
    <n v="20"/>
  </r>
  <r>
    <m/>
    <x v="1"/>
    <x v="9"/>
    <n v="238"/>
    <n v="235"/>
    <x v="9"/>
    <x v="9"/>
    <n v="142"/>
    <n v="10"/>
    <n v="0"/>
  </r>
  <r>
    <m/>
    <x v="1"/>
    <x v="10"/>
    <n v="832"/>
    <n v="832"/>
    <x v="10"/>
    <x v="10"/>
    <n v="1754"/>
    <n v="43"/>
    <n v="1"/>
  </r>
  <r>
    <m/>
    <x v="1"/>
    <x v="11"/>
    <n v="307"/>
    <n v="252"/>
    <x v="11"/>
    <x v="11"/>
    <n v="62"/>
    <n v="9"/>
    <n v="3"/>
  </r>
  <r>
    <m/>
    <x v="1"/>
    <x v="12"/>
    <n v="2309"/>
    <n v="2245"/>
    <x v="12"/>
    <x v="12"/>
    <n v="1091"/>
    <n v="13"/>
    <n v="2"/>
  </r>
  <r>
    <m/>
    <x v="1"/>
    <x v="13"/>
    <n v="2399"/>
    <n v="2292"/>
    <x v="13"/>
    <x v="13"/>
    <n v="1440"/>
    <n v="87"/>
    <n v="13"/>
  </r>
  <r>
    <m/>
    <x v="1"/>
    <x v="14"/>
    <n v="23089"/>
    <n v="22623"/>
    <x v="14"/>
    <x v="14"/>
    <n v="40590"/>
    <n v="5268"/>
    <n v="320"/>
  </r>
  <r>
    <m/>
    <x v="1"/>
    <x v="15"/>
    <n v="29"/>
    <n v="28"/>
    <x v="15"/>
    <x v="15"/>
    <n v="10"/>
    <n v="2"/>
    <n v="1"/>
  </r>
  <r>
    <m/>
    <x v="1"/>
    <x v="6"/>
    <n v="1221"/>
    <n v="1219"/>
    <x v="16"/>
    <x v="16"/>
    <n v="3832"/>
    <n v="23"/>
    <n v="3"/>
  </r>
  <r>
    <m/>
    <x v="2"/>
    <x v="16"/>
    <n v="17513"/>
    <n v="17381"/>
    <x v="17"/>
    <x v="7"/>
    <n v="12957"/>
    <n v="3"/>
    <n v="5"/>
  </r>
  <r>
    <m/>
    <x v="2"/>
    <x v="17"/>
    <n v="46045"/>
    <n v="44626"/>
    <x v="18"/>
    <x v="17"/>
    <n v="24791"/>
    <n v="35"/>
    <n v="5"/>
  </r>
  <r>
    <m/>
    <x v="2"/>
    <x v="18"/>
    <n v="35249"/>
    <n v="32984"/>
    <x v="19"/>
    <x v="18"/>
    <n v="20754"/>
    <n v="47"/>
    <n v="22"/>
  </r>
  <r>
    <m/>
    <x v="2"/>
    <x v="19"/>
    <n v="39562"/>
    <n v="37357"/>
    <x v="20"/>
    <x v="17"/>
    <n v="19388"/>
    <n v="78"/>
    <n v="44"/>
  </r>
  <r>
    <m/>
    <x v="2"/>
    <x v="20"/>
    <n v="8749"/>
    <n v="8484"/>
    <x v="21"/>
    <x v="19"/>
    <n v="6038"/>
    <n v="17"/>
    <n v="0"/>
  </r>
  <r>
    <m/>
    <x v="2"/>
    <x v="21"/>
    <n v="1882"/>
    <n v="1686"/>
    <x v="22"/>
    <x v="20"/>
    <n v="1025"/>
    <n v="31"/>
    <n v="0"/>
  </r>
  <r>
    <m/>
    <x v="2"/>
    <x v="22"/>
    <n v="11185"/>
    <n v="11089"/>
    <x v="23"/>
    <x v="19"/>
    <n v="7250"/>
    <n v="4"/>
    <n v="0"/>
  </r>
  <r>
    <m/>
    <x v="3"/>
    <x v="23"/>
    <n v="182"/>
    <n v="151"/>
    <x v="24"/>
    <x v="21"/>
    <n v="15"/>
    <n v="3"/>
    <n v="0"/>
  </r>
  <r>
    <m/>
    <x v="3"/>
    <x v="24"/>
    <n v="980"/>
    <n v="955"/>
    <x v="25"/>
    <x v="14"/>
    <n v="1678"/>
    <n v="89"/>
    <n v="1"/>
  </r>
  <r>
    <m/>
    <x v="3"/>
    <x v="25"/>
    <n v="512"/>
    <n v="480"/>
    <x v="26"/>
    <x v="22"/>
    <n v="232"/>
    <n v="50"/>
    <n v="0"/>
  </r>
  <r>
    <m/>
    <x v="3"/>
    <x v="26"/>
    <n v="59"/>
    <n v="59"/>
    <x v="27"/>
    <x v="23"/>
    <n v="23"/>
    <n v="0"/>
    <n v="0"/>
  </r>
  <r>
    <m/>
    <x v="3"/>
    <x v="27"/>
    <n v="460"/>
    <n v="447"/>
    <x v="28"/>
    <x v="24"/>
    <n v="147"/>
    <n v="14"/>
    <n v="0"/>
  </r>
  <r>
    <m/>
    <x v="3"/>
    <x v="28"/>
    <n v="300"/>
    <n v="300"/>
    <x v="29"/>
    <x v="24"/>
    <n v="142"/>
    <n v="26"/>
    <n v="1"/>
  </r>
  <r>
    <m/>
    <x v="3"/>
    <x v="29"/>
    <n v="732"/>
    <n v="732"/>
    <x v="30"/>
    <x v="25"/>
    <n v="133"/>
    <n v="38"/>
    <n v="2"/>
  </r>
  <r>
    <m/>
    <x v="4"/>
    <x v="30"/>
    <n v="10241"/>
    <n v="9698"/>
    <x v="31"/>
    <x v="26"/>
    <n v="10967"/>
    <n v="438"/>
    <n v="142"/>
  </r>
  <r>
    <m/>
    <x v="4"/>
    <x v="31"/>
    <n v="7390"/>
    <n v="6348"/>
    <x v="32"/>
    <x v="27"/>
    <n v="7351"/>
    <n v="657"/>
    <n v="294"/>
  </r>
  <r>
    <m/>
    <x v="4"/>
    <x v="32"/>
    <n v="54"/>
    <n v="31"/>
    <x v="33"/>
    <x v="28"/>
    <n v="0"/>
    <n v="1"/>
    <n v="1"/>
  </r>
  <r>
    <m/>
    <x v="4"/>
    <x v="33"/>
    <n v="198"/>
    <n v="198"/>
    <x v="34"/>
    <x v="29"/>
    <n v="485"/>
    <n v="87"/>
    <n v="0"/>
  </r>
  <r>
    <m/>
    <x v="5"/>
    <x v="34"/>
    <n v="254"/>
    <n v="186"/>
    <x v="35"/>
    <x v="30"/>
    <n v="22"/>
    <n v="0"/>
    <n v="0"/>
  </r>
  <r>
    <m/>
    <x v="5"/>
    <x v="35"/>
    <n v="1083"/>
    <n v="989"/>
    <x v="36"/>
    <x v="31"/>
    <n v="398"/>
    <n v="65"/>
    <n v="29"/>
  </r>
  <r>
    <m/>
    <x v="5"/>
    <x v="36"/>
    <n v="472"/>
    <n v="435"/>
    <x v="37"/>
    <x v="32"/>
    <n v="17"/>
    <n v="15"/>
    <n v="10"/>
  </r>
  <r>
    <m/>
    <x v="5"/>
    <x v="37"/>
    <n v="1843"/>
    <n v="1683"/>
    <x v="38"/>
    <x v="33"/>
    <n v="634"/>
    <n v="0"/>
    <n v="0"/>
  </r>
  <r>
    <m/>
    <x v="5"/>
    <x v="38"/>
    <n v="2651"/>
    <n v="2544"/>
    <x v="39"/>
    <x v="34"/>
    <n v="1077"/>
    <n v="56"/>
    <n v="10"/>
  </r>
  <r>
    <m/>
    <x v="5"/>
    <x v="39"/>
    <n v="510"/>
    <n v="482"/>
    <x v="40"/>
    <x v="35"/>
    <n v="109"/>
    <n v="15"/>
    <n v="14"/>
  </r>
  <r>
    <m/>
    <x v="6"/>
    <x v="14"/>
    <n v="1045"/>
    <n v="1045"/>
    <x v="41"/>
    <x v="36"/>
    <n v="2671"/>
    <n v="123"/>
    <n v="0"/>
  </r>
  <r>
    <m/>
    <x v="6"/>
    <x v="40"/>
    <n v="102"/>
    <n v="97"/>
    <x v="42"/>
    <x v="0"/>
    <n v="83"/>
    <n v="0"/>
    <n v="0"/>
  </r>
  <r>
    <m/>
    <x v="6"/>
    <x v="41"/>
    <n v="535"/>
    <n v="533"/>
    <x v="43"/>
    <x v="37"/>
    <n v="62"/>
    <n v="0"/>
    <n v="0"/>
  </r>
  <r>
    <m/>
    <x v="6"/>
    <x v="42"/>
    <n v="2975"/>
    <n v="2856"/>
    <x v="44"/>
    <x v="24"/>
    <n v="933"/>
    <n v="27"/>
    <n v="8"/>
  </r>
  <r>
    <m/>
    <x v="6"/>
    <x v="43"/>
    <n v="713"/>
    <n v="621"/>
    <x v="45"/>
    <x v="27"/>
    <n v="134"/>
    <n v="2"/>
    <n v="0"/>
  </r>
  <r>
    <m/>
    <x v="6"/>
    <x v="44"/>
    <n v="3461"/>
    <n v="3437"/>
    <x v="46"/>
    <x v="38"/>
    <n v="646"/>
    <n v="7"/>
    <n v="5"/>
  </r>
  <r>
    <m/>
    <x v="6"/>
    <x v="45"/>
    <n v="2235"/>
    <n v="2234"/>
    <x v="47"/>
    <x v="39"/>
    <n v="987"/>
    <n v="10"/>
    <n v="0"/>
  </r>
  <r>
    <m/>
    <x v="6"/>
    <x v="46"/>
    <n v="925"/>
    <n v="925"/>
    <x v="48"/>
    <x v="40"/>
    <n v="314"/>
    <n v="0"/>
    <n v="0"/>
  </r>
  <r>
    <m/>
    <x v="6"/>
    <x v="47"/>
    <n v="5410"/>
    <n v="5370"/>
    <x v="49"/>
    <x v="41"/>
    <n v="2326"/>
    <n v="136"/>
    <n v="27"/>
  </r>
  <r>
    <m/>
    <x v="7"/>
    <x v="48"/>
    <n v="2"/>
    <n v="2"/>
    <x v="50"/>
    <x v="7"/>
    <n v="0"/>
    <n v="0"/>
    <n v="0"/>
  </r>
  <r>
    <m/>
    <x v="7"/>
    <x v="49"/>
    <n v="23"/>
    <n v="23"/>
    <x v="51"/>
    <x v="33"/>
    <n v="4"/>
    <n v="1"/>
    <n v="0"/>
  </r>
  <r>
    <m/>
    <x v="7"/>
    <x v="50"/>
    <n v="93"/>
    <n v="93"/>
    <x v="52"/>
    <x v="19"/>
    <n v="63"/>
    <n v="13"/>
    <n v="1"/>
  </r>
  <r>
    <m/>
    <x v="7"/>
    <x v="51"/>
    <n v="1910"/>
    <n v="1747"/>
    <x v="53"/>
    <x v="42"/>
    <n v="739"/>
    <n v="42"/>
    <n v="10"/>
  </r>
  <r>
    <m/>
    <x v="7"/>
    <x v="52"/>
    <n v="1517"/>
    <n v="1517"/>
    <x v="54"/>
    <x v="42"/>
    <n v="390"/>
    <n v="36"/>
    <n v="7"/>
  </r>
  <r>
    <m/>
    <x v="7"/>
    <x v="53"/>
    <n v="810"/>
    <n v="810"/>
    <x v="55"/>
    <x v="43"/>
    <n v="446"/>
    <n v="25"/>
    <n v="4"/>
  </r>
  <r>
    <m/>
    <x v="7"/>
    <x v="54"/>
    <n v="1928"/>
    <n v="1890"/>
    <x v="56"/>
    <x v="44"/>
    <n v="849"/>
    <n v="15"/>
    <n v="0"/>
  </r>
  <r>
    <m/>
    <x v="7"/>
    <x v="55"/>
    <n v="30"/>
    <n v="30"/>
    <x v="57"/>
    <x v="45"/>
    <n v="2"/>
    <n v="2"/>
    <n v="0"/>
  </r>
  <r>
    <m/>
    <x v="8"/>
    <x v="56"/>
    <n v="2368"/>
    <n v="2057"/>
    <x v="58"/>
    <x v="46"/>
    <n v="913"/>
    <n v="3"/>
    <n v="1"/>
  </r>
  <r>
    <m/>
    <x v="8"/>
    <x v="57"/>
    <n v="734"/>
    <n v="658"/>
    <x v="59"/>
    <x v="47"/>
    <n v="125"/>
    <n v="19"/>
    <n v="0"/>
  </r>
  <r>
    <m/>
    <x v="8"/>
    <x v="58"/>
    <n v="1915"/>
    <n v="1756"/>
    <x v="60"/>
    <x v="0"/>
    <n v="1492"/>
    <n v="11"/>
    <n v="0"/>
  </r>
  <r>
    <m/>
    <x v="8"/>
    <x v="59"/>
    <n v="6657"/>
    <n v="5720"/>
    <x v="61"/>
    <x v="25"/>
    <n v="3991"/>
    <n v="27"/>
    <n v="42"/>
  </r>
  <r>
    <m/>
    <x v="8"/>
    <x v="60"/>
    <n v="1092"/>
    <n v="1092"/>
    <x v="62"/>
    <x v="48"/>
    <n v="457"/>
    <n v="0"/>
    <n v="0"/>
  </r>
  <r>
    <m/>
    <x v="8"/>
    <x v="61"/>
    <n v="5976"/>
    <n v="5331"/>
    <x v="63"/>
    <x v="49"/>
    <n v="8230"/>
    <n v="92"/>
    <n v="35"/>
  </r>
  <r>
    <m/>
    <x v="8"/>
    <x v="62"/>
    <n v="4960"/>
    <n v="3083"/>
    <x v="64"/>
    <x v="38"/>
    <n v="906"/>
    <n v="4"/>
    <n v="1"/>
  </r>
  <r>
    <m/>
    <x v="8"/>
    <x v="63"/>
    <n v="569"/>
    <n v="395"/>
    <x v="65"/>
    <x v="47"/>
    <n v="128"/>
    <n v="11"/>
    <n v="0"/>
  </r>
  <r>
    <m/>
    <x v="8"/>
    <x v="64"/>
    <n v="390"/>
    <n v="332"/>
    <x v="66"/>
    <x v="22"/>
    <n v="390"/>
    <n v="2"/>
    <n v="2"/>
  </r>
  <r>
    <m/>
    <x v="8"/>
    <x v="65"/>
    <n v="30"/>
    <n v="30"/>
    <x v="51"/>
    <x v="50"/>
    <n v="0"/>
    <n v="0"/>
    <n v="0"/>
  </r>
  <r>
    <m/>
    <x v="9"/>
    <x v="66"/>
    <n v="3000"/>
    <n v="2976"/>
    <x v="67"/>
    <x v="51"/>
    <n v="2071"/>
    <n v="217"/>
    <n v="19"/>
  </r>
  <r>
    <m/>
    <x v="9"/>
    <x v="67"/>
    <n v="17"/>
    <n v="17"/>
    <x v="68"/>
    <x v="52"/>
    <n v="0"/>
    <n v="0"/>
    <n v="0"/>
  </r>
  <r>
    <m/>
    <x v="9"/>
    <x v="68"/>
    <n v="288"/>
    <n v="281"/>
    <x v="69"/>
    <x v="53"/>
    <n v="4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0:C81" firstHeaderRow="1" firstDataRow="1" firstDataCol="1"/>
  <pivotFields count="10">
    <pivotField showAll="0"/>
    <pivotField axis="axisRow" showAll="0">
      <items count="11">
        <item x="0"/>
        <item x="1"/>
        <item x="2"/>
        <item x="3"/>
        <item x="4"/>
        <item x="5"/>
        <item x="7"/>
        <item x="6"/>
        <item x="8"/>
        <item x="9"/>
        <item t="default"/>
      </items>
    </pivotField>
    <pivotField showAll="0"/>
    <pivotField showAll="0"/>
    <pivotField showAll="0"/>
    <pivotField dataField="1"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roduction (M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52:D63" firstHeaderRow="0" firstDataRow="1" firstDataCol="1"/>
  <pivotFields count="10">
    <pivotField showAll="0"/>
    <pivotField axis="axisRow" showAll="0">
      <items count="11">
        <item x="0"/>
        <item x="1"/>
        <item x="2"/>
        <item x="3"/>
        <item x="4"/>
        <item x="5"/>
        <item x="7"/>
        <item x="6"/>
        <item x="8"/>
        <item x="9"/>
        <item t="default"/>
      </items>
    </pivotField>
    <pivotField showAll="0"/>
    <pivotField showAll="0"/>
    <pivotField showAll="0"/>
    <pivotField dataField="1" showAll="0">
      <items count="71">
        <item x="68"/>
        <item x="50"/>
        <item x="33"/>
        <item x="57"/>
        <item x="51"/>
        <item x="15"/>
        <item x="69"/>
        <item x="7"/>
        <item x="24"/>
        <item x="52"/>
        <item x="27"/>
        <item x="42"/>
        <item x="35"/>
        <item x="37"/>
        <item x="11"/>
        <item x="9"/>
        <item x="29"/>
        <item x="6"/>
        <item x="65"/>
        <item x="43"/>
        <item x="40"/>
        <item x="28"/>
        <item x="59"/>
        <item x="66"/>
        <item x="34"/>
        <item x="48"/>
        <item x="26"/>
        <item x="30"/>
        <item x="55"/>
        <item x="36"/>
        <item x="45"/>
        <item x="54"/>
        <item x="62"/>
        <item x="38"/>
        <item x="46"/>
        <item x="53"/>
        <item x="58"/>
        <item x="56"/>
        <item x="22"/>
        <item x="12"/>
        <item x="47"/>
        <item x="10"/>
        <item x="60"/>
        <item x="64"/>
        <item x="25"/>
        <item x="44"/>
        <item x="13"/>
        <item x="41"/>
        <item x="39"/>
        <item x="67"/>
        <item x="8"/>
        <item x="49"/>
        <item x="16"/>
        <item x="61"/>
        <item x="21"/>
        <item x="23"/>
        <item x="32"/>
        <item x="63"/>
        <item x="1"/>
        <item x="31"/>
        <item x="17"/>
        <item x="5"/>
        <item x="19"/>
        <item x="20"/>
        <item x="0"/>
        <item x="2"/>
        <item x="18"/>
        <item x="4"/>
        <item x="14"/>
        <item x="3"/>
        <item t="default"/>
      </items>
    </pivotField>
    <pivotField showAll="0"/>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Production (MT)" fld="5" baseField="0" baseItem="0"/>
    <dataField name="Sum of Sales (MT)" fld="7"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B35:C46" firstHeaderRow="1" firstDataRow="1" firstDataCol="1"/>
  <pivotFields count="10">
    <pivotField showAll="0"/>
    <pivotField axis="axisRow" showAll="0">
      <items count="11">
        <item x="0"/>
        <item x="1"/>
        <item x="2"/>
        <item x="3"/>
        <item x="4"/>
        <item x="5"/>
        <item x="7"/>
        <item x="6"/>
        <item x="8"/>
        <item x="9"/>
        <item t="default"/>
      </items>
    </pivotField>
    <pivotField showAll="0">
      <items count="70">
        <item h="1" x="16"/>
        <item h="1" x="34"/>
        <item h="1" x="48"/>
        <item h="1" x="0"/>
        <item h="1" x="23"/>
        <item h="1" x="7"/>
        <item h="1" x="40"/>
        <item h="1" x="8"/>
        <item h="1" x="35"/>
        <item h="1" x="17"/>
        <item h="1" x="56"/>
        <item h="1" x="30"/>
        <item x="57"/>
        <item h="1" x="49"/>
        <item h="1" x="36"/>
        <item h="1" x="58"/>
        <item h="1" x="50"/>
        <item h="1" x="1"/>
        <item h="1" x="31"/>
        <item h="1" x="59"/>
        <item h="1" x="9"/>
        <item h="1" x="66"/>
        <item h="1" x="2"/>
        <item h="1" x="41"/>
        <item h="1" x="42"/>
        <item h="1" x="51"/>
        <item h="1" x="18"/>
        <item h="1" x="24"/>
        <item h="1" x="60"/>
        <item h="1" x="10"/>
        <item h="1" x="32"/>
        <item h="1" x="11"/>
        <item h="1" x="12"/>
        <item h="1" x="19"/>
        <item h="1" x="33"/>
        <item h="1" x="43"/>
        <item h="1" x="37"/>
        <item h="1" x="20"/>
        <item h="1" x="25"/>
        <item h="1" x="13"/>
        <item h="1" x="61"/>
        <item h="1" x="44"/>
        <item h="1" x="26"/>
        <item h="1" x="3"/>
        <item h="1" x="67"/>
        <item h="1" x="62"/>
        <item h="1" x="38"/>
        <item h="1" x="14"/>
        <item h="1" x="45"/>
        <item h="1" x="46"/>
        <item h="1" x="15"/>
        <item h="1" x="52"/>
        <item h="1" x="4"/>
        <item h="1" x="47"/>
        <item h="1" x="27"/>
        <item h="1" x="53"/>
        <item h="1" x="39"/>
        <item h="1" x="63"/>
        <item h="1" x="28"/>
        <item h="1" x="6"/>
        <item h="1" x="21"/>
        <item h="1" x="22"/>
        <item h="1" x="29"/>
        <item h="1" x="5"/>
        <item h="1" x="68"/>
        <item h="1" x="64"/>
        <item h="1" x="65"/>
        <item h="1" x="54"/>
        <item h="1" x="55"/>
        <item t="default"/>
      </items>
    </pivotField>
    <pivotField showAll="0"/>
    <pivotField showAll="0"/>
    <pivotField showAll="0">
      <items count="71">
        <item x="68"/>
        <item x="50"/>
        <item x="33"/>
        <item x="57"/>
        <item x="51"/>
        <item x="15"/>
        <item x="69"/>
        <item x="7"/>
        <item x="24"/>
        <item x="52"/>
        <item x="27"/>
        <item x="42"/>
        <item x="35"/>
        <item x="37"/>
        <item x="11"/>
        <item x="9"/>
        <item x="29"/>
        <item x="6"/>
        <item x="65"/>
        <item x="43"/>
        <item x="40"/>
        <item x="28"/>
        <item x="59"/>
        <item x="66"/>
        <item x="34"/>
        <item x="48"/>
        <item x="26"/>
        <item x="30"/>
        <item x="55"/>
        <item x="36"/>
        <item x="45"/>
        <item x="54"/>
        <item x="62"/>
        <item x="38"/>
        <item x="46"/>
        <item x="53"/>
        <item x="58"/>
        <item x="56"/>
        <item x="22"/>
        <item x="12"/>
        <item x="47"/>
        <item x="10"/>
        <item x="60"/>
        <item x="64"/>
        <item x="25"/>
        <item x="44"/>
        <item x="13"/>
        <item x="41"/>
        <item x="39"/>
        <item x="67"/>
        <item x="8"/>
        <item x="49"/>
        <item x="16"/>
        <item x="61"/>
        <item x="21"/>
        <item x="23"/>
        <item x="32"/>
        <item x="63"/>
        <item x="1"/>
        <item x="31"/>
        <item x="17"/>
        <item x="5"/>
        <item x="19"/>
        <item x="20"/>
        <item x="0"/>
        <item x="2"/>
        <item x="18"/>
        <item x="4"/>
        <item x="14"/>
        <item x="3"/>
        <item t="default"/>
      </items>
    </pivotField>
    <pivotField dataField="1" showAll="0">
      <items count="55">
        <item x="52"/>
        <item x="28"/>
        <item x="53"/>
        <item x="21"/>
        <item x="32"/>
        <item x="45"/>
        <item x="38"/>
        <item x="47"/>
        <item x="37"/>
        <item x="50"/>
        <item x="35"/>
        <item x="40"/>
        <item x="46"/>
        <item x="11"/>
        <item x="30"/>
        <item x="31"/>
        <item x="33"/>
        <item x="24"/>
        <item x="42"/>
        <item x="17"/>
        <item x="41"/>
        <item x="18"/>
        <item x="12"/>
        <item x="44"/>
        <item x="43"/>
        <item x="9"/>
        <item x="39"/>
        <item x="25"/>
        <item x="2"/>
        <item x="19"/>
        <item x="20"/>
        <item x="13"/>
        <item x="4"/>
        <item x="0"/>
        <item x="7"/>
        <item x="48"/>
        <item x="51"/>
        <item x="22"/>
        <item x="34"/>
        <item x="5"/>
        <item x="27"/>
        <item x="23"/>
        <item x="26"/>
        <item x="15"/>
        <item x="3"/>
        <item x="49"/>
        <item x="1"/>
        <item x="6"/>
        <item x="14"/>
        <item x="10"/>
        <item x="29"/>
        <item x="36"/>
        <item x="8"/>
        <item x="16"/>
        <item t="default"/>
      </items>
    </pivotField>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Yield (MT/ Ha)" fld="6" subtotal="average" baseField="1" baseItem="0"/>
  </dataFields>
  <chartFormats count="22">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7"/>
          </reference>
        </references>
      </pivotArea>
    </chartFormat>
    <chartFormat chart="0" format="11">
      <pivotArea type="data" outline="0" fieldPosition="0">
        <references count="2">
          <reference field="4294967294" count="1" selected="0">
            <x v="0"/>
          </reference>
          <reference field="1" count="1" selected="0">
            <x v="8"/>
          </reference>
        </references>
      </pivotArea>
    </chartFormat>
    <chartFormat chart="0" format="12">
      <pivotArea type="data" outline="0" fieldPosition="0">
        <references count="2">
          <reference field="4294967294" count="1" selected="0">
            <x v="0"/>
          </reference>
          <reference field="1" count="1" selected="0">
            <x v="9"/>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1" count="1" selected="0">
            <x v="0"/>
          </reference>
        </references>
      </pivotArea>
    </chartFormat>
    <chartFormat chart="5" format="26">
      <pivotArea type="data" outline="0" fieldPosition="0">
        <references count="2">
          <reference field="4294967294" count="1" selected="0">
            <x v="0"/>
          </reference>
          <reference field="1" count="1" selected="0">
            <x v="1"/>
          </reference>
        </references>
      </pivotArea>
    </chartFormat>
    <chartFormat chart="5" format="27">
      <pivotArea type="data" outline="0" fieldPosition="0">
        <references count="2">
          <reference field="4294967294" count="1" selected="0">
            <x v="0"/>
          </reference>
          <reference field="1" count="1" selected="0">
            <x v="2"/>
          </reference>
        </references>
      </pivotArea>
    </chartFormat>
    <chartFormat chart="5" format="28">
      <pivotArea type="data" outline="0" fieldPosition="0">
        <references count="2">
          <reference field="4294967294" count="1" selected="0">
            <x v="0"/>
          </reference>
          <reference field="1" count="1" selected="0">
            <x v="3"/>
          </reference>
        </references>
      </pivotArea>
    </chartFormat>
    <chartFormat chart="5" format="29">
      <pivotArea type="data" outline="0" fieldPosition="0">
        <references count="2">
          <reference field="4294967294" count="1" selected="0">
            <x v="0"/>
          </reference>
          <reference field="1" count="1" selected="0">
            <x v="4"/>
          </reference>
        </references>
      </pivotArea>
    </chartFormat>
    <chartFormat chart="5" format="30">
      <pivotArea type="data" outline="0" fieldPosition="0">
        <references count="2">
          <reference field="4294967294" count="1" selected="0">
            <x v="0"/>
          </reference>
          <reference field="1" count="1" selected="0">
            <x v="5"/>
          </reference>
        </references>
      </pivotArea>
    </chartFormat>
    <chartFormat chart="5" format="31">
      <pivotArea type="data" outline="0" fieldPosition="0">
        <references count="2">
          <reference field="4294967294" count="1" selected="0">
            <x v="0"/>
          </reference>
          <reference field="1" count="1" selected="0">
            <x v="6"/>
          </reference>
        </references>
      </pivotArea>
    </chartFormat>
    <chartFormat chart="5" format="32">
      <pivotArea type="data" outline="0" fieldPosition="0">
        <references count="2">
          <reference field="4294967294" count="1" selected="0">
            <x v="0"/>
          </reference>
          <reference field="1" count="1" selected="0">
            <x v="7"/>
          </reference>
        </references>
      </pivotArea>
    </chartFormat>
    <chartFormat chart="5" format="33">
      <pivotArea type="data" outline="0" fieldPosition="0">
        <references count="2">
          <reference field="4294967294" count="1" selected="0">
            <x v="0"/>
          </reference>
          <reference field="1" count="1" selected="0">
            <x v="8"/>
          </reference>
        </references>
      </pivotArea>
    </chartFormat>
    <chartFormat chart="5" format="3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0:C31" firstHeaderRow="0" firstDataRow="1" firstDataCol="1"/>
  <pivotFields count="10">
    <pivotField showAll="0"/>
    <pivotField axis="axisRow" showAll="0">
      <items count="11">
        <item x="0"/>
        <item x="1"/>
        <item x="2"/>
        <item x="3"/>
        <item x="4"/>
        <item x="5"/>
        <item x="7"/>
        <item x="6"/>
        <item x="8"/>
        <item x="9"/>
        <item t="default"/>
      </items>
    </pivotField>
    <pivotField showAll="0">
      <items count="70">
        <item h="1" x="16"/>
        <item h="1" x="34"/>
        <item h="1" x="48"/>
        <item h="1" x="0"/>
        <item h="1" x="23"/>
        <item h="1" x="7"/>
        <item x="40"/>
        <item h="1" x="8"/>
        <item h="1" x="35"/>
        <item h="1" x="17"/>
        <item h="1" x="56"/>
        <item h="1" x="30"/>
        <item h="1" x="57"/>
        <item h="1" x="49"/>
        <item h="1" x="36"/>
        <item h="1" x="58"/>
        <item h="1" x="50"/>
        <item h="1" x="1"/>
        <item h="1" x="31"/>
        <item h="1" x="59"/>
        <item h="1" x="9"/>
        <item h="1" x="66"/>
        <item h="1" x="2"/>
        <item h="1" x="41"/>
        <item h="1" x="42"/>
        <item h="1" x="51"/>
        <item h="1" x="18"/>
        <item h="1" x="24"/>
        <item h="1" x="60"/>
        <item h="1" x="10"/>
        <item h="1" x="32"/>
        <item h="1" x="11"/>
        <item h="1" x="12"/>
        <item h="1" x="19"/>
        <item h="1" x="33"/>
        <item h="1" x="43"/>
        <item h="1" x="37"/>
        <item h="1" x="20"/>
        <item h="1" x="25"/>
        <item h="1" x="13"/>
        <item h="1" x="61"/>
        <item h="1" x="44"/>
        <item h="1" x="26"/>
        <item h="1" x="3"/>
        <item h="1" x="67"/>
        <item h="1" x="62"/>
        <item h="1" x="38"/>
        <item h="1" x="14"/>
        <item h="1" x="45"/>
        <item h="1" x="46"/>
        <item h="1" x="15"/>
        <item h="1" x="52"/>
        <item h="1" x="4"/>
        <item h="1" x="47"/>
        <item h="1" x="27"/>
        <item h="1" x="53"/>
        <item h="1" x="39"/>
        <item h="1" x="63"/>
        <item h="1" x="28"/>
        <item h="1" x="6"/>
        <item h="1" x="21"/>
        <item h="1" x="22"/>
        <item h="1" x="29"/>
        <item h="1" x="5"/>
        <item h="1" x="68"/>
        <item h="1" x="64"/>
        <item h="1" x="65"/>
        <item h="1" x="54"/>
        <item h="1" x="55"/>
        <item t="default"/>
      </items>
    </pivotField>
    <pivotField dataField="1" showAll="0"/>
    <pivotField dataField="1"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Hectares Planted" fld="3" baseField="0" baseItem="0"/>
    <dataField name="Sum of Hectares Harvested" fld="4" baseField="0" baseItem="0"/>
  </dataField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4" firstHeaderRow="1" firstDataRow="1" firstDataCol="1"/>
  <pivotFields count="10">
    <pivotField showAll="0"/>
    <pivotField axis="axisRow" showAll="0" sortType="descending">
      <items count="11">
        <item x="0"/>
        <item x="1"/>
        <item x="2"/>
        <item x="3"/>
        <item x="4"/>
        <item x="5"/>
        <item x="7"/>
        <item x="6"/>
        <item x="8"/>
        <item x="9"/>
        <item t="default"/>
      </items>
      <autoSortScope>
        <pivotArea dataOnly="0" outline="0" fieldPosition="0">
          <references count="1">
            <reference field="4294967294" count="1" selected="0">
              <x v="0"/>
            </reference>
          </references>
        </pivotArea>
      </autoSortScope>
    </pivotField>
    <pivotField showAll="0">
      <items count="70">
        <item x="16"/>
        <item x="34"/>
        <item x="48"/>
        <item x="0"/>
        <item x="23"/>
        <item x="7"/>
        <item x="40"/>
        <item x="8"/>
        <item x="35"/>
        <item x="17"/>
        <item x="56"/>
        <item x="30"/>
        <item x="57"/>
        <item x="49"/>
        <item x="36"/>
        <item x="58"/>
        <item x="50"/>
        <item x="1"/>
        <item x="31"/>
        <item x="59"/>
        <item x="9"/>
        <item x="66"/>
        <item x="2"/>
        <item x="41"/>
        <item x="42"/>
        <item x="51"/>
        <item x="18"/>
        <item x="24"/>
        <item x="60"/>
        <item x="10"/>
        <item x="32"/>
        <item x="11"/>
        <item x="12"/>
        <item x="19"/>
        <item x="33"/>
        <item x="43"/>
        <item x="37"/>
        <item x="20"/>
        <item x="25"/>
        <item x="13"/>
        <item x="61"/>
        <item x="44"/>
        <item x="26"/>
        <item x="3"/>
        <item x="67"/>
        <item x="62"/>
        <item x="38"/>
        <item x="14"/>
        <item x="45"/>
        <item x="46"/>
        <item x="15"/>
        <item x="52"/>
        <item x="4"/>
        <item x="47"/>
        <item x="27"/>
        <item x="53"/>
        <item x="39"/>
        <item x="63"/>
        <item x="28"/>
        <item x="6"/>
        <item x="21"/>
        <item x="22"/>
        <item x="29"/>
        <item x="5"/>
        <item x="68"/>
        <item x="64"/>
        <item x="65"/>
        <item x="54"/>
        <item x="55"/>
        <item t="default"/>
      </items>
    </pivotField>
    <pivotField showAll="0"/>
    <pivotField showAll="0"/>
    <pivotField dataField="1" showAll="0"/>
    <pivotField showAll="0"/>
    <pivotField showAll="0"/>
    <pivotField showAll="0"/>
    <pivotField showAll="0"/>
  </pivotFields>
  <rowFields count="1">
    <field x="1"/>
  </rowFields>
  <rowItems count="11">
    <i>
      <x/>
    </i>
    <i>
      <x v="2"/>
    </i>
    <i>
      <x v="1"/>
    </i>
    <i>
      <x v="4"/>
    </i>
    <i>
      <x v="8"/>
    </i>
    <i>
      <x v="7"/>
    </i>
    <i>
      <x v="5"/>
    </i>
    <i>
      <x v="6"/>
    </i>
    <i>
      <x v="3"/>
    </i>
    <i>
      <x v="9"/>
    </i>
    <i t="grand">
      <x/>
    </i>
  </rowItems>
  <colItems count="1">
    <i/>
  </colItems>
  <dataFields count="1">
    <dataField name="Sum of Production (MT)" fld="5"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trict" sourceName="District">
  <pivotTables>
    <pivotTable tabId="4" name="PivotTable3"/>
  </pivotTables>
  <data>
    <tabular pivotCacheId="1">
      <items count="69">
        <i x="16" s="1"/>
        <i x="34" s="1"/>
        <i x="48" s="1"/>
        <i x="0" s="1"/>
        <i x="23" s="1"/>
        <i x="7" s="1"/>
        <i x="40" s="1"/>
        <i x="8" s="1"/>
        <i x="35" s="1"/>
        <i x="17" s="1"/>
        <i x="56" s="1"/>
        <i x="30" s="1"/>
        <i x="57" s="1"/>
        <i x="49" s="1"/>
        <i x="36" s="1"/>
        <i x="58" s="1"/>
        <i x="50" s="1"/>
        <i x="1" s="1"/>
        <i x="31" s="1"/>
        <i x="59" s="1"/>
        <i x="9" s="1"/>
        <i x="66" s="1"/>
        <i x="2" s="1"/>
        <i x="41" s="1"/>
        <i x="42" s="1"/>
        <i x="51" s="1"/>
        <i x="18" s="1"/>
        <i x="24" s="1"/>
        <i x="60" s="1"/>
        <i x="10" s="1"/>
        <i x="32" s="1"/>
        <i x="11" s="1"/>
        <i x="12" s="1"/>
        <i x="19" s="1"/>
        <i x="33" s="1"/>
        <i x="43" s="1"/>
        <i x="37" s="1"/>
        <i x="20" s="1"/>
        <i x="25" s="1"/>
        <i x="13" s="1"/>
        <i x="61" s="1"/>
        <i x="44" s="1"/>
        <i x="26" s="1"/>
        <i x="3" s="1"/>
        <i x="67" s="1"/>
        <i x="62" s="1"/>
        <i x="38" s="1"/>
        <i x="14" s="1"/>
        <i x="45" s="1"/>
        <i x="46" s="1"/>
        <i x="15" s="1"/>
        <i x="52" s="1"/>
        <i x="4" s="1"/>
        <i x="47" s="1"/>
        <i x="27" s="1"/>
        <i x="53" s="1"/>
        <i x="39" s="1"/>
        <i x="63" s="1"/>
        <i x="28" s="1"/>
        <i x="6" s="1"/>
        <i x="21" s="1"/>
        <i x="22" s="1"/>
        <i x="29" s="1"/>
        <i x="5" s="1"/>
        <i x="68" s="1"/>
        <i x="64" s="1"/>
        <i x="65" s="1"/>
        <i x="54" s="1"/>
        <i x="5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lect District" cache="Slicer_District" caption="Select District to view production quantities" startItem="51" rowHeight="241300"/>
</slicers>
</file>

<file path=xl/tables/table1.xml><?xml version="1.0" encoding="utf-8"?>
<table xmlns="http://schemas.openxmlformats.org/spreadsheetml/2006/main" id="1" name="Table1" displayName="Table1" ref="A1:J72" totalsRowShown="0" headerRowBorderDxfId="9" tableBorderDxfId="10">
  <autoFilter ref="A1:J72"/>
  <tableColumns count="10">
    <tableColumn id="1" name="Crop" dataDxfId="8" dataCellStyle="Normal 2"/>
    <tableColumn id="2" name="Province" dataDxfId="7" dataCellStyle="Normal 2">
      <calculatedColumnFormula>B1</calculatedColumnFormula>
    </tableColumn>
    <tableColumn id="3" name="District" dataDxfId="6" dataCellStyle="Normal 2"/>
    <tableColumn id="4" name="Hectares Planted" dataDxfId="5" dataCellStyle="Normal 2"/>
    <tableColumn id="5" name="Hectares Harvested" dataDxfId="4" dataCellStyle="Normal 2"/>
    <tableColumn id="6" name="Production (MT)" dataDxfId="3" dataCellStyle="Normal 2"/>
    <tableColumn id="7" name="Yield (MT/ Ha)" dataDxfId="2" dataCellStyle="Normal 2"/>
    <tableColumn id="8" name="Sales (MT)"/>
    <tableColumn id="9" name="Basal (MT)" dataDxfId="1" dataCellStyle="Normal 2"/>
    <tableColumn id="10" name="Top (MT)"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topLeftCell="A25" workbookViewId="0">
      <selection activeCell="J10" sqref="J10"/>
    </sheetView>
  </sheetViews>
  <sheetFormatPr defaultRowHeight="15" x14ac:dyDescent="0.25"/>
  <cols>
    <col min="2" max="2" width="13.42578125" customWidth="1"/>
    <col min="3" max="3" width="12.140625" customWidth="1"/>
    <col min="4" max="4" width="19.42578125" customWidth="1"/>
    <col min="5" max="5" width="20.28515625" customWidth="1"/>
    <col min="6" max="6" width="17.42578125" customWidth="1"/>
    <col min="7" max="7" width="17.140625" customWidth="1"/>
    <col min="8" max="8" width="13.42578125" customWidth="1"/>
    <col min="9" max="9" width="14.85546875" customWidth="1"/>
    <col min="10" max="10" width="12.28515625" customWidth="1"/>
  </cols>
  <sheetData>
    <row r="1" spans="1:10" ht="45" x14ac:dyDescent="0.25">
      <c r="A1" s="24" t="s">
        <v>77</v>
      </c>
      <c r="B1" s="25" t="s">
        <v>78</v>
      </c>
      <c r="C1" s="25" t="s">
        <v>79</v>
      </c>
      <c r="D1" s="26" t="s">
        <v>80</v>
      </c>
      <c r="E1" s="27" t="s">
        <v>81</v>
      </c>
      <c r="F1" s="28" t="s">
        <v>82</v>
      </c>
      <c r="G1" s="26" t="s">
        <v>83</v>
      </c>
      <c r="H1" s="29" t="s">
        <v>84</v>
      </c>
      <c r="I1" s="30" t="s">
        <v>85</v>
      </c>
      <c r="J1" s="31" t="s">
        <v>86</v>
      </c>
    </row>
    <row r="2" spans="1:10" ht="25.5" x14ac:dyDescent="0.25">
      <c r="A2" s="17" t="s">
        <v>0</v>
      </c>
      <c r="B2" s="13" t="s">
        <v>1</v>
      </c>
      <c r="C2" s="1" t="s">
        <v>2</v>
      </c>
      <c r="D2" s="2">
        <v>31634</v>
      </c>
      <c r="E2" s="2">
        <v>29798</v>
      </c>
      <c r="F2" s="2">
        <v>30706</v>
      </c>
      <c r="G2" s="5">
        <v>0.97</v>
      </c>
      <c r="H2" s="2">
        <v>18754</v>
      </c>
      <c r="I2" s="3">
        <v>899</v>
      </c>
      <c r="J2" s="20">
        <v>121</v>
      </c>
    </row>
    <row r="3" spans="1:10" x14ac:dyDescent="0.25">
      <c r="A3" s="18"/>
      <c r="B3" s="14" t="str">
        <f t="shared" ref="B3:B8" si="0">B2</f>
        <v>Central</v>
      </c>
      <c r="C3" s="1" t="s">
        <v>3</v>
      </c>
      <c r="D3" s="2">
        <v>5633</v>
      </c>
      <c r="E3" s="2">
        <v>5197</v>
      </c>
      <c r="F3" s="2">
        <v>10033</v>
      </c>
      <c r="G3" s="5">
        <v>1.78</v>
      </c>
      <c r="H3" s="2">
        <v>7060</v>
      </c>
      <c r="I3" s="3">
        <v>365</v>
      </c>
      <c r="J3" s="20">
        <v>94</v>
      </c>
    </row>
    <row r="4" spans="1:10" ht="25.5" x14ac:dyDescent="0.25">
      <c r="A4" s="18"/>
      <c r="B4" s="14" t="str">
        <f t="shared" si="0"/>
        <v>Central</v>
      </c>
      <c r="C4" s="1" t="s">
        <v>4</v>
      </c>
      <c r="D4" s="2">
        <v>38913</v>
      </c>
      <c r="E4" s="2">
        <v>37935</v>
      </c>
      <c r="F4" s="2">
        <v>31859</v>
      </c>
      <c r="G4" s="5">
        <v>0.82</v>
      </c>
      <c r="H4" s="2">
        <v>23810</v>
      </c>
      <c r="I4" s="3">
        <v>95</v>
      </c>
      <c r="J4" s="20">
        <v>21</v>
      </c>
    </row>
    <row r="5" spans="1:10" x14ac:dyDescent="0.25">
      <c r="A5" s="18"/>
      <c r="B5" s="14" t="str">
        <f t="shared" si="0"/>
        <v>Central</v>
      </c>
      <c r="C5" s="1" t="s">
        <v>5</v>
      </c>
      <c r="D5" s="2">
        <v>32990</v>
      </c>
      <c r="E5" s="2">
        <v>31128</v>
      </c>
      <c r="F5" s="2">
        <v>50097</v>
      </c>
      <c r="G5" s="5">
        <v>1.52</v>
      </c>
      <c r="H5" s="2">
        <v>42239</v>
      </c>
      <c r="I5" s="2">
        <v>1240</v>
      </c>
      <c r="J5" s="21">
        <v>1118</v>
      </c>
    </row>
    <row r="6" spans="1:10" x14ac:dyDescent="0.25">
      <c r="A6" s="18"/>
      <c r="B6" s="14" t="str">
        <f t="shared" si="0"/>
        <v>Central</v>
      </c>
      <c r="C6" s="1" t="s">
        <v>6</v>
      </c>
      <c r="D6" s="2">
        <v>39391</v>
      </c>
      <c r="E6" s="2">
        <v>38345</v>
      </c>
      <c r="F6" s="2">
        <v>36810</v>
      </c>
      <c r="G6" s="5">
        <v>0.93</v>
      </c>
      <c r="H6" s="2">
        <v>22653</v>
      </c>
      <c r="I6" s="3">
        <v>755</v>
      </c>
      <c r="J6" s="20">
        <v>318</v>
      </c>
    </row>
    <row r="7" spans="1:10" x14ac:dyDescent="0.25">
      <c r="A7" s="18"/>
      <c r="B7" s="14" t="str">
        <f t="shared" si="0"/>
        <v>Central</v>
      </c>
      <c r="C7" s="1" t="s">
        <v>7</v>
      </c>
      <c r="D7" s="2">
        <v>16061</v>
      </c>
      <c r="E7" s="2">
        <v>16017</v>
      </c>
      <c r="F7" s="2">
        <v>20152</v>
      </c>
      <c r="G7" s="5">
        <v>1.25</v>
      </c>
      <c r="H7" s="2">
        <v>16629</v>
      </c>
      <c r="I7" s="3">
        <v>926</v>
      </c>
      <c r="J7" s="20">
        <v>9</v>
      </c>
    </row>
    <row r="8" spans="1:10" x14ac:dyDescent="0.25">
      <c r="A8" s="18"/>
      <c r="B8" s="15" t="str">
        <f t="shared" si="0"/>
        <v>Central</v>
      </c>
      <c r="C8" s="1" t="s">
        <v>8</v>
      </c>
      <c r="D8" s="3">
        <v>133</v>
      </c>
      <c r="E8" s="3">
        <v>133</v>
      </c>
      <c r="F8" s="3">
        <v>250</v>
      </c>
      <c r="G8" s="5">
        <v>1.88</v>
      </c>
      <c r="H8" s="3">
        <v>250</v>
      </c>
      <c r="I8" s="4">
        <v>0</v>
      </c>
      <c r="J8" s="22">
        <v>0</v>
      </c>
    </row>
    <row r="9" spans="1:10" ht="25.5" x14ac:dyDescent="0.25">
      <c r="A9" s="18"/>
      <c r="B9" s="13" t="s">
        <v>9</v>
      </c>
      <c r="C9" s="1" t="s">
        <v>10</v>
      </c>
      <c r="D9" s="3">
        <v>44</v>
      </c>
      <c r="E9" s="3">
        <v>44</v>
      </c>
      <c r="F9" s="3">
        <v>44</v>
      </c>
      <c r="G9" s="5">
        <v>1</v>
      </c>
      <c r="H9" s="3">
        <v>19</v>
      </c>
      <c r="I9" s="3">
        <v>4</v>
      </c>
      <c r="J9" s="20">
        <v>1</v>
      </c>
    </row>
    <row r="10" spans="1:10" ht="25.5" x14ac:dyDescent="0.25">
      <c r="A10" s="18"/>
      <c r="B10" s="14" t="str">
        <f t="shared" ref="B10:B18" si="1">B9</f>
        <v>Copperbelt</v>
      </c>
      <c r="C10" s="1" t="s">
        <v>11</v>
      </c>
      <c r="D10" s="2">
        <v>1237</v>
      </c>
      <c r="E10" s="2">
        <v>1237</v>
      </c>
      <c r="F10" s="2">
        <v>3317</v>
      </c>
      <c r="G10" s="5">
        <v>2.68</v>
      </c>
      <c r="H10" s="2">
        <v>3161</v>
      </c>
      <c r="I10" s="3">
        <v>28</v>
      </c>
      <c r="J10" s="20">
        <v>20</v>
      </c>
    </row>
    <row r="11" spans="1:10" ht="25.5" x14ac:dyDescent="0.25">
      <c r="A11" s="18"/>
      <c r="B11" s="14" t="str">
        <f t="shared" si="1"/>
        <v>Copperbelt</v>
      </c>
      <c r="C11" s="1" t="s">
        <v>12</v>
      </c>
      <c r="D11" s="3">
        <v>238</v>
      </c>
      <c r="E11" s="3">
        <v>235</v>
      </c>
      <c r="F11" s="3">
        <v>186</v>
      </c>
      <c r="G11" s="5">
        <v>0.78</v>
      </c>
      <c r="H11" s="3">
        <v>142</v>
      </c>
      <c r="I11" s="3">
        <v>10</v>
      </c>
      <c r="J11" s="22">
        <v>0</v>
      </c>
    </row>
    <row r="12" spans="1:10" ht="25.5" x14ac:dyDescent="0.25">
      <c r="A12" s="18"/>
      <c r="B12" s="14" t="str">
        <f t="shared" si="1"/>
        <v>Copperbelt</v>
      </c>
      <c r="C12" s="1" t="s">
        <v>13</v>
      </c>
      <c r="D12" s="3">
        <v>832</v>
      </c>
      <c r="E12" s="3">
        <v>832</v>
      </c>
      <c r="F12" s="2">
        <v>1847</v>
      </c>
      <c r="G12" s="5">
        <v>2.2200000000000002</v>
      </c>
      <c r="H12" s="2">
        <v>1754</v>
      </c>
      <c r="I12" s="3">
        <v>43</v>
      </c>
      <c r="J12" s="20">
        <v>1</v>
      </c>
    </row>
    <row r="13" spans="1:10" ht="25.5" x14ac:dyDescent="0.25">
      <c r="A13" s="18"/>
      <c r="B13" s="14" t="str">
        <f t="shared" si="1"/>
        <v>Copperbelt</v>
      </c>
      <c r="C13" s="1" t="s">
        <v>14</v>
      </c>
      <c r="D13" s="3">
        <v>307</v>
      </c>
      <c r="E13" s="3">
        <v>252</v>
      </c>
      <c r="F13" s="3">
        <v>175</v>
      </c>
      <c r="G13" s="5">
        <v>0.56999999999999995</v>
      </c>
      <c r="H13" s="3">
        <v>62</v>
      </c>
      <c r="I13" s="3">
        <v>9</v>
      </c>
      <c r="J13" s="20">
        <v>3</v>
      </c>
    </row>
    <row r="14" spans="1:10" ht="25.5" x14ac:dyDescent="0.25">
      <c r="A14" s="18"/>
      <c r="B14" s="14" t="str">
        <f t="shared" si="1"/>
        <v>Copperbelt</v>
      </c>
      <c r="C14" s="1" t="s">
        <v>15</v>
      </c>
      <c r="D14" s="2">
        <v>2309</v>
      </c>
      <c r="E14" s="2">
        <v>2245</v>
      </c>
      <c r="F14" s="2">
        <v>1732</v>
      </c>
      <c r="G14" s="5">
        <v>0.75</v>
      </c>
      <c r="H14" s="2">
        <v>1091</v>
      </c>
      <c r="I14" s="3">
        <v>13</v>
      </c>
      <c r="J14" s="20">
        <v>2</v>
      </c>
    </row>
    <row r="15" spans="1:10" ht="25.5" x14ac:dyDescent="0.25">
      <c r="A15" s="18"/>
      <c r="B15" s="14" t="str">
        <f t="shared" si="1"/>
        <v>Copperbelt</v>
      </c>
      <c r="C15" s="1" t="s">
        <v>16</v>
      </c>
      <c r="D15" s="2">
        <v>2399</v>
      </c>
      <c r="E15" s="2">
        <v>2292</v>
      </c>
      <c r="F15" s="2">
        <v>2164</v>
      </c>
      <c r="G15" s="5">
        <v>0.9</v>
      </c>
      <c r="H15" s="2">
        <v>1440</v>
      </c>
      <c r="I15" s="3">
        <v>87</v>
      </c>
      <c r="J15" s="20">
        <v>13</v>
      </c>
    </row>
    <row r="16" spans="1:10" ht="25.5" x14ac:dyDescent="0.25">
      <c r="A16" s="18"/>
      <c r="B16" s="14" t="str">
        <f t="shared" si="1"/>
        <v>Copperbelt</v>
      </c>
      <c r="C16" s="1" t="s">
        <v>17</v>
      </c>
      <c r="D16" s="2">
        <v>23089</v>
      </c>
      <c r="E16" s="2">
        <v>22623</v>
      </c>
      <c r="F16" s="2">
        <v>44759</v>
      </c>
      <c r="G16" s="5">
        <v>1.94</v>
      </c>
      <c r="H16" s="2">
        <v>40590</v>
      </c>
      <c r="I16" s="2">
        <v>5268</v>
      </c>
      <c r="J16" s="20">
        <v>320</v>
      </c>
    </row>
    <row r="17" spans="1:10" ht="25.5" x14ac:dyDescent="0.25">
      <c r="A17" s="18"/>
      <c r="B17" s="14" t="str">
        <f t="shared" si="1"/>
        <v>Copperbelt</v>
      </c>
      <c r="C17" s="1" t="s">
        <v>18</v>
      </c>
      <c r="D17" s="3">
        <v>29</v>
      </c>
      <c r="E17" s="3">
        <v>28</v>
      </c>
      <c r="F17" s="3">
        <v>42</v>
      </c>
      <c r="G17" s="5">
        <v>1.45</v>
      </c>
      <c r="H17" s="3">
        <v>10</v>
      </c>
      <c r="I17" s="3">
        <v>2</v>
      </c>
      <c r="J17" s="20">
        <v>1</v>
      </c>
    </row>
    <row r="18" spans="1:10" ht="25.5" x14ac:dyDescent="0.25">
      <c r="A18" s="18"/>
      <c r="B18" s="14" t="str">
        <f t="shared" si="1"/>
        <v>Copperbelt</v>
      </c>
      <c r="C18" s="1" t="s">
        <v>8</v>
      </c>
      <c r="D18" s="2">
        <v>1221</v>
      </c>
      <c r="E18" s="2">
        <v>1219</v>
      </c>
      <c r="F18" s="2">
        <v>3968</v>
      </c>
      <c r="G18" s="5">
        <v>3.25</v>
      </c>
      <c r="H18" s="2">
        <v>3832</v>
      </c>
      <c r="I18" s="3">
        <v>23</v>
      </c>
      <c r="J18" s="20">
        <v>3</v>
      </c>
    </row>
    <row r="19" spans="1:10" x14ac:dyDescent="0.25">
      <c r="A19" s="18"/>
      <c r="B19" s="13" t="s">
        <v>19</v>
      </c>
      <c r="C19" s="1" t="s">
        <v>20</v>
      </c>
      <c r="D19" s="2">
        <v>17513</v>
      </c>
      <c r="E19" s="2">
        <v>17381</v>
      </c>
      <c r="F19" s="2">
        <v>17562</v>
      </c>
      <c r="G19" s="5">
        <v>1</v>
      </c>
      <c r="H19" s="2">
        <v>12957</v>
      </c>
      <c r="I19" s="3">
        <v>3</v>
      </c>
      <c r="J19" s="20">
        <v>5</v>
      </c>
    </row>
    <row r="20" spans="1:10" x14ac:dyDescent="0.25">
      <c r="A20" s="18"/>
      <c r="B20" s="14" t="str">
        <f t="shared" ref="B20:B25" si="2">B19</f>
        <v>Eastern</v>
      </c>
      <c r="C20" s="1" t="s">
        <v>21</v>
      </c>
      <c r="D20" s="2">
        <v>46045</v>
      </c>
      <c r="E20" s="2">
        <v>44626</v>
      </c>
      <c r="F20" s="2">
        <v>32794</v>
      </c>
      <c r="G20" s="5">
        <v>0.71</v>
      </c>
      <c r="H20" s="2">
        <v>24791</v>
      </c>
      <c r="I20" s="3">
        <v>35</v>
      </c>
      <c r="J20" s="20">
        <v>5</v>
      </c>
    </row>
    <row r="21" spans="1:10" x14ac:dyDescent="0.25">
      <c r="A21" s="18"/>
      <c r="B21" s="14" t="str">
        <f t="shared" si="2"/>
        <v>Eastern</v>
      </c>
      <c r="C21" s="1" t="s">
        <v>22</v>
      </c>
      <c r="D21" s="2">
        <v>35249</v>
      </c>
      <c r="E21" s="2">
        <v>32984</v>
      </c>
      <c r="F21" s="2">
        <v>25853</v>
      </c>
      <c r="G21" s="5">
        <v>0.73</v>
      </c>
      <c r="H21" s="2">
        <v>20754</v>
      </c>
      <c r="I21" s="3">
        <v>47</v>
      </c>
      <c r="J21" s="20">
        <v>22</v>
      </c>
    </row>
    <row r="22" spans="1:10" x14ac:dyDescent="0.25">
      <c r="A22" s="18"/>
      <c r="B22" s="14" t="str">
        <f t="shared" si="2"/>
        <v>Eastern</v>
      </c>
      <c r="C22" s="1" t="s">
        <v>23</v>
      </c>
      <c r="D22" s="2">
        <v>39562</v>
      </c>
      <c r="E22" s="2">
        <v>37357</v>
      </c>
      <c r="F22" s="2">
        <v>28195</v>
      </c>
      <c r="G22" s="5">
        <v>0.71</v>
      </c>
      <c r="H22" s="2">
        <v>19388</v>
      </c>
      <c r="I22" s="3">
        <v>78</v>
      </c>
      <c r="J22" s="20">
        <v>44</v>
      </c>
    </row>
    <row r="23" spans="1:10" x14ac:dyDescent="0.25">
      <c r="A23" s="18"/>
      <c r="B23" s="14" t="str">
        <f t="shared" si="2"/>
        <v>Eastern</v>
      </c>
      <c r="C23" s="1" t="s">
        <v>24</v>
      </c>
      <c r="D23" s="2">
        <v>8749</v>
      </c>
      <c r="E23" s="2">
        <v>8484</v>
      </c>
      <c r="F23" s="2">
        <v>7268</v>
      </c>
      <c r="G23" s="5">
        <v>0.83</v>
      </c>
      <c r="H23" s="2">
        <v>6038</v>
      </c>
      <c r="I23" s="3">
        <v>17</v>
      </c>
      <c r="J23" s="22">
        <v>0</v>
      </c>
    </row>
    <row r="24" spans="1:10" x14ac:dyDescent="0.25">
      <c r="A24" s="18"/>
      <c r="B24" s="14" t="str">
        <f t="shared" si="2"/>
        <v>Eastern</v>
      </c>
      <c r="C24" s="1" t="s">
        <v>25</v>
      </c>
      <c r="D24" s="2">
        <v>1882</v>
      </c>
      <c r="E24" s="2">
        <v>1686</v>
      </c>
      <c r="F24" s="2">
        <v>1603</v>
      </c>
      <c r="G24" s="5">
        <v>0.85</v>
      </c>
      <c r="H24" s="2">
        <v>1025</v>
      </c>
      <c r="I24" s="3">
        <v>31</v>
      </c>
      <c r="J24" s="22">
        <v>0</v>
      </c>
    </row>
    <row r="25" spans="1:10" x14ac:dyDescent="0.25">
      <c r="A25" s="18"/>
      <c r="B25" s="14" t="str">
        <f t="shared" si="2"/>
        <v>Eastern</v>
      </c>
      <c r="C25" s="1" t="s">
        <v>26</v>
      </c>
      <c r="D25" s="2">
        <v>11185</v>
      </c>
      <c r="E25" s="2">
        <v>11089</v>
      </c>
      <c r="F25" s="2">
        <v>9333</v>
      </c>
      <c r="G25" s="5">
        <v>0.83</v>
      </c>
      <c r="H25" s="2">
        <v>7250</v>
      </c>
      <c r="I25" s="3">
        <v>4</v>
      </c>
      <c r="J25" s="22">
        <v>0</v>
      </c>
    </row>
    <row r="26" spans="1:10" x14ac:dyDescent="0.25">
      <c r="A26" s="18"/>
      <c r="B26" s="13" t="s">
        <v>27</v>
      </c>
      <c r="C26" s="1" t="s">
        <v>28</v>
      </c>
      <c r="D26" s="3">
        <v>182</v>
      </c>
      <c r="E26" s="3">
        <v>151</v>
      </c>
      <c r="F26" s="3">
        <v>62</v>
      </c>
      <c r="G26" s="5">
        <v>0.34</v>
      </c>
      <c r="H26" s="3">
        <v>15</v>
      </c>
      <c r="I26" s="3">
        <v>3</v>
      </c>
      <c r="J26" s="22">
        <v>0</v>
      </c>
    </row>
    <row r="27" spans="1:10" ht="25.5" x14ac:dyDescent="0.25">
      <c r="A27" s="18"/>
      <c r="B27" s="14" t="str">
        <f t="shared" ref="B27:B32" si="3">B26</f>
        <v>Luapula</v>
      </c>
      <c r="C27" s="1" t="s">
        <v>29</v>
      </c>
      <c r="D27" s="3">
        <v>980</v>
      </c>
      <c r="E27" s="3">
        <v>955</v>
      </c>
      <c r="F27" s="2">
        <v>1904</v>
      </c>
      <c r="G27" s="5">
        <v>1.94</v>
      </c>
      <c r="H27" s="2">
        <v>1678</v>
      </c>
      <c r="I27" s="3">
        <v>89</v>
      </c>
      <c r="J27" s="20">
        <v>1</v>
      </c>
    </row>
    <row r="28" spans="1:10" x14ac:dyDescent="0.25">
      <c r="A28" s="18"/>
      <c r="B28" s="14" t="str">
        <f t="shared" si="3"/>
        <v>Luapula</v>
      </c>
      <c r="C28" s="1" t="s">
        <v>30</v>
      </c>
      <c r="D28" s="3">
        <v>512</v>
      </c>
      <c r="E28" s="3">
        <v>480</v>
      </c>
      <c r="F28" s="3">
        <v>569</v>
      </c>
      <c r="G28" s="5">
        <v>1.1100000000000001</v>
      </c>
      <c r="H28" s="3">
        <v>232</v>
      </c>
      <c r="I28" s="3">
        <v>50</v>
      </c>
      <c r="J28" s="22">
        <v>0</v>
      </c>
    </row>
    <row r="29" spans="1:10" x14ac:dyDescent="0.25">
      <c r="A29" s="18"/>
      <c r="B29" s="14" t="str">
        <f t="shared" si="3"/>
        <v>Luapula</v>
      </c>
      <c r="C29" s="1" t="s">
        <v>31</v>
      </c>
      <c r="D29" s="3">
        <v>59</v>
      </c>
      <c r="E29" s="3">
        <v>59</v>
      </c>
      <c r="F29" s="3">
        <v>80</v>
      </c>
      <c r="G29" s="5">
        <v>1.36</v>
      </c>
      <c r="H29" s="3">
        <v>23</v>
      </c>
      <c r="I29" s="4">
        <v>0</v>
      </c>
      <c r="J29" s="22">
        <v>0</v>
      </c>
    </row>
    <row r="30" spans="1:10" x14ac:dyDescent="0.25">
      <c r="A30" s="18"/>
      <c r="B30" s="14" t="str">
        <f t="shared" si="3"/>
        <v>Luapula</v>
      </c>
      <c r="C30" s="1" t="s">
        <v>32</v>
      </c>
      <c r="D30" s="3">
        <v>460</v>
      </c>
      <c r="E30" s="3">
        <v>447</v>
      </c>
      <c r="F30" s="3">
        <v>314</v>
      </c>
      <c r="G30" s="5">
        <v>0.68</v>
      </c>
      <c r="H30" s="3">
        <v>147</v>
      </c>
      <c r="I30" s="3">
        <v>14</v>
      </c>
      <c r="J30" s="22">
        <v>0</v>
      </c>
    </row>
    <row r="31" spans="1:10" ht="25.5" x14ac:dyDescent="0.25">
      <c r="A31" s="18"/>
      <c r="B31" s="14" t="str">
        <f t="shared" si="3"/>
        <v>Luapula</v>
      </c>
      <c r="C31" s="1" t="s">
        <v>33</v>
      </c>
      <c r="D31" s="3">
        <v>300</v>
      </c>
      <c r="E31" s="3">
        <v>300</v>
      </c>
      <c r="F31" s="3">
        <v>204</v>
      </c>
      <c r="G31" s="5">
        <v>0.68</v>
      </c>
      <c r="H31" s="3">
        <v>142</v>
      </c>
      <c r="I31" s="3">
        <v>26</v>
      </c>
      <c r="J31" s="20">
        <v>1</v>
      </c>
    </row>
    <row r="32" spans="1:10" x14ac:dyDescent="0.25">
      <c r="A32" s="18"/>
      <c r="B32" s="14" t="str">
        <f t="shared" si="3"/>
        <v>Luapula</v>
      </c>
      <c r="C32" s="1" t="s">
        <v>34</v>
      </c>
      <c r="D32" s="3">
        <v>732</v>
      </c>
      <c r="E32" s="3">
        <v>732</v>
      </c>
      <c r="F32" s="3">
        <v>590</v>
      </c>
      <c r="G32" s="5">
        <v>0.81</v>
      </c>
      <c r="H32" s="3">
        <v>133</v>
      </c>
      <c r="I32" s="3">
        <v>38</v>
      </c>
      <c r="J32" s="20">
        <v>2</v>
      </c>
    </row>
    <row r="33" spans="1:10" x14ac:dyDescent="0.25">
      <c r="A33" s="19"/>
      <c r="B33" s="14" t="s">
        <v>35</v>
      </c>
      <c r="C33" s="9" t="s">
        <v>36</v>
      </c>
      <c r="D33" s="8">
        <v>10241</v>
      </c>
      <c r="E33" s="8">
        <v>9698</v>
      </c>
      <c r="F33" s="8">
        <v>14489</v>
      </c>
      <c r="G33" s="7">
        <v>1.41</v>
      </c>
      <c r="H33" s="8">
        <v>10967</v>
      </c>
      <c r="I33" s="6">
        <v>438</v>
      </c>
      <c r="J33" s="23">
        <v>142</v>
      </c>
    </row>
    <row r="34" spans="1:10" x14ac:dyDescent="0.25">
      <c r="A34" s="19"/>
      <c r="B34" s="14" t="str">
        <f t="shared" ref="B34:B36" si="4">B33</f>
        <v>Lusaka</v>
      </c>
      <c r="C34" s="1" t="s">
        <v>37</v>
      </c>
      <c r="D34" s="2">
        <v>7390</v>
      </c>
      <c r="E34" s="2">
        <v>6348</v>
      </c>
      <c r="F34" s="2">
        <v>9688</v>
      </c>
      <c r="G34" s="5">
        <v>1.31</v>
      </c>
      <c r="H34" s="2">
        <v>7351</v>
      </c>
      <c r="I34" s="3">
        <v>657</v>
      </c>
      <c r="J34" s="20">
        <v>294</v>
      </c>
    </row>
    <row r="35" spans="1:10" x14ac:dyDescent="0.25">
      <c r="A35" s="19"/>
      <c r="B35" s="14" t="str">
        <f t="shared" si="4"/>
        <v>Lusaka</v>
      </c>
      <c r="C35" s="1" t="s">
        <v>38</v>
      </c>
      <c r="D35" s="3">
        <v>54</v>
      </c>
      <c r="E35" s="3">
        <v>31</v>
      </c>
      <c r="F35" s="3">
        <v>4</v>
      </c>
      <c r="G35" s="5">
        <v>7.0000000000000007E-2</v>
      </c>
      <c r="H35" s="4">
        <v>0</v>
      </c>
      <c r="I35" s="3">
        <v>1</v>
      </c>
      <c r="J35" s="20">
        <v>1</v>
      </c>
    </row>
    <row r="36" spans="1:10" x14ac:dyDescent="0.25">
      <c r="A36" s="19"/>
      <c r="B36" s="14" t="str">
        <f t="shared" si="4"/>
        <v>Lusaka</v>
      </c>
      <c r="C36" s="1" t="s">
        <v>35</v>
      </c>
      <c r="D36" s="3">
        <v>198</v>
      </c>
      <c r="E36" s="3">
        <v>198</v>
      </c>
      <c r="F36" s="3">
        <v>485</v>
      </c>
      <c r="G36" s="5">
        <v>2.4500000000000002</v>
      </c>
      <c r="H36" s="3">
        <v>485</v>
      </c>
      <c r="I36" s="3">
        <v>87</v>
      </c>
      <c r="J36" s="22">
        <v>0</v>
      </c>
    </row>
    <row r="37" spans="1:10" x14ac:dyDescent="0.25">
      <c r="A37" s="19"/>
      <c r="B37" s="13" t="s">
        <v>39</v>
      </c>
      <c r="C37" s="1" t="s">
        <v>40</v>
      </c>
      <c r="D37" s="3">
        <v>254</v>
      </c>
      <c r="E37" s="3">
        <v>186</v>
      </c>
      <c r="F37" s="3">
        <v>158</v>
      </c>
      <c r="G37" s="5">
        <v>0.62</v>
      </c>
      <c r="H37" s="3">
        <v>22</v>
      </c>
      <c r="I37" s="4">
        <v>0</v>
      </c>
      <c r="J37" s="22">
        <v>0</v>
      </c>
    </row>
    <row r="38" spans="1:10" x14ac:dyDescent="0.25">
      <c r="A38" s="19"/>
      <c r="B38" s="14" t="str">
        <f t="shared" ref="B38:B42" si="5">B37</f>
        <v>Muchinga</v>
      </c>
      <c r="C38" s="1" t="s">
        <v>41</v>
      </c>
      <c r="D38" s="2">
        <v>1083</v>
      </c>
      <c r="E38" s="3">
        <v>989</v>
      </c>
      <c r="F38" s="3">
        <v>684</v>
      </c>
      <c r="G38" s="5">
        <v>0.63</v>
      </c>
      <c r="H38" s="3">
        <v>398</v>
      </c>
      <c r="I38" s="3">
        <v>65</v>
      </c>
      <c r="J38" s="20">
        <v>29</v>
      </c>
    </row>
    <row r="39" spans="1:10" x14ac:dyDescent="0.25">
      <c r="A39" s="19"/>
      <c r="B39" s="14" t="str">
        <f t="shared" si="5"/>
        <v>Muchinga</v>
      </c>
      <c r="C39" s="1" t="s">
        <v>42</v>
      </c>
      <c r="D39" s="3">
        <v>472</v>
      </c>
      <c r="E39" s="3">
        <v>435</v>
      </c>
      <c r="F39" s="3">
        <v>168</v>
      </c>
      <c r="G39" s="5">
        <v>0.36</v>
      </c>
      <c r="H39" s="3">
        <v>17</v>
      </c>
      <c r="I39" s="3">
        <v>15</v>
      </c>
      <c r="J39" s="20">
        <v>10</v>
      </c>
    </row>
    <row r="40" spans="1:10" x14ac:dyDescent="0.25">
      <c r="A40" s="19"/>
      <c r="B40" s="14" t="str">
        <f t="shared" si="5"/>
        <v>Muchinga</v>
      </c>
      <c r="C40" s="1" t="s">
        <v>43</v>
      </c>
      <c r="D40" s="2">
        <v>1843</v>
      </c>
      <c r="E40" s="2">
        <v>1683</v>
      </c>
      <c r="F40" s="2">
        <v>1205</v>
      </c>
      <c r="G40" s="5">
        <v>0.65</v>
      </c>
      <c r="H40" s="3">
        <v>634</v>
      </c>
      <c r="I40" s="4">
        <v>0</v>
      </c>
      <c r="J40" s="22">
        <v>0</v>
      </c>
    </row>
    <row r="41" spans="1:10" x14ac:dyDescent="0.25">
      <c r="A41" s="19"/>
      <c r="B41" s="14" t="str">
        <f t="shared" si="5"/>
        <v>Muchinga</v>
      </c>
      <c r="C41" s="1" t="s">
        <v>44</v>
      </c>
      <c r="D41" s="2">
        <v>2651</v>
      </c>
      <c r="E41" s="2">
        <v>2544</v>
      </c>
      <c r="F41" s="2">
        <v>3054</v>
      </c>
      <c r="G41" s="5">
        <v>1.1499999999999999</v>
      </c>
      <c r="H41" s="2">
        <v>1077</v>
      </c>
      <c r="I41" s="3">
        <v>56</v>
      </c>
      <c r="J41" s="20">
        <v>10</v>
      </c>
    </row>
    <row r="42" spans="1:10" x14ac:dyDescent="0.25">
      <c r="A42" s="19"/>
      <c r="B42" s="14" t="str">
        <f t="shared" si="5"/>
        <v>Muchinga</v>
      </c>
      <c r="C42" s="1" t="s">
        <v>45</v>
      </c>
      <c r="D42" s="3">
        <v>510</v>
      </c>
      <c r="E42" s="3">
        <v>482</v>
      </c>
      <c r="F42" s="3">
        <v>265</v>
      </c>
      <c r="G42" s="5">
        <v>0.52</v>
      </c>
      <c r="H42" s="3">
        <v>109</v>
      </c>
      <c r="I42" s="3">
        <v>15</v>
      </c>
      <c r="J42" s="20">
        <v>14</v>
      </c>
    </row>
    <row r="43" spans="1:10" x14ac:dyDescent="0.25">
      <c r="A43" s="19"/>
      <c r="B43" s="13" t="s">
        <v>46</v>
      </c>
      <c r="C43" s="1" t="s">
        <v>17</v>
      </c>
      <c r="D43" s="2">
        <v>1045</v>
      </c>
      <c r="E43" s="2">
        <v>1045</v>
      </c>
      <c r="F43" s="2">
        <v>2729</v>
      </c>
      <c r="G43" s="5">
        <v>2.61</v>
      </c>
      <c r="H43" s="2">
        <v>2671</v>
      </c>
      <c r="I43" s="3">
        <v>123</v>
      </c>
      <c r="J43" s="22">
        <v>0</v>
      </c>
    </row>
    <row r="44" spans="1:10" x14ac:dyDescent="0.25">
      <c r="A44" s="19"/>
      <c r="B44" s="14" t="str">
        <f t="shared" ref="B44:B51" si="6">B43</f>
        <v>Northern</v>
      </c>
      <c r="C44" s="1" t="s">
        <v>47</v>
      </c>
      <c r="D44" s="3">
        <v>102</v>
      </c>
      <c r="E44" s="3">
        <v>97</v>
      </c>
      <c r="F44" s="3">
        <v>99</v>
      </c>
      <c r="G44" s="5">
        <v>0.97</v>
      </c>
      <c r="H44" s="3">
        <v>83</v>
      </c>
      <c r="I44" s="4">
        <v>0</v>
      </c>
      <c r="J44" s="22">
        <v>0</v>
      </c>
    </row>
    <row r="45" spans="1:10" x14ac:dyDescent="0.25">
      <c r="A45" s="19"/>
      <c r="B45" s="14" t="str">
        <f t="shared" si="6"/>
        <v>Northern</v>
      </c>
      <c r="C45" s="1" t="s">
        <v>48</v>
      </c>
      <c r="D45" s="3">
        <v>535</v>
      </c>
      <c r="E45" s="3">
        <v>533</v>
      </c>
      <c r="F45" s="3">
        <v>253</v>
      </c>
      <c r="G45" s="5">
        <v>0.47</v>
      </c>
      <c r="H45" s="3">
        <v>62</v>
      </c>
      <c r="I45" s="4">
        <v>0</v>
      </c>
      <c r="J45" s="22">
        <v>0</v>
      </c>
    </row>
    <row r="46" spans="1:10" x14ac:dyDescent="0.25">
      <c r="A46" s="19"/>
      <c r="B46" s="14" t="str">
        <f t="shared" si="6"/>
        <v>Northern</v>
      </c>
      <c r="C46" s="1" t="s">
        <v>49</v>
      </c>
      <c r="D46" s="2">
        <v>2975</v>
      </c>
      <c r="E46" s="2">
        <v>2856</v>
      </c>
      <c r="F46" s="2">
        <v>2015</v>
      </c>
      <c r="G46" s="5">
        <v>0.68</v>
      </c>
      <c r="H46" s="3">
        <v>933</v>
      </c>
      <c r="I46" s="3">
        <v>27</v>
      </c>
      <c r="J46" s="20">
        <v>8</v>
      </c>
    </row>
    <row r="47" spans="1:10" x14ac:dyDescent="0.25">
      <c r="A47" s="19"/>
      <c r="B47" s="14" t="str">
        <f t="shared" si="6"/>
        <v>Northern</v>
      </c>
      <c r="C47" s="1" t="s">
        <v>50</v>
      </c>
      <c r="D47" s="3">
        <v>713</v>
      </c>
      <c r="E47" s="3">
        <v>621</v>
      </c>
      <c r="F47" s="3">
        <v>937</v>
      </c>
      <c r="G47" s="5">
        <v>1.31</v>
      </c>
      <c r="H47" s="3">
        <v>134</v>
      </c>
      <c r="I47" s="3">
        <v>2</v>
      </c>
      <c r="J47" s="22">
        <v>0</v>
      </c>
    </row>
    <row r="48" spans="1:10" x14ac:dyDescent="0.25">
      <c r="A48" s="19"/>
      <c r="B48" s="14" t="str">
        <f t="shared" si="6"/>
        <v>Northern</v>
      </c>
      <c r="C48" s="1" t="s">
        <v>51</v>
      </c>
      <c r="D48" s="2">
        <v>3461</v>
      </c>
      <c r="E48" s="2">
        <v>3437</v>
      </c>
      <c r="F48" s="2">
        <v>1308</v>
      </c>
      <c r="G48" s="5">
        <v>0.38</v>
      </c>
      <c r="H48" s="3">
        <v>646</v>
      </c>
      <c r="I48" s="3">
        <v>7</v>
      </c>
      <c r="J48" s="20">
        <v>5</v>
      </c>
    </row>
    <row r="49" spans="1:10" ht="25.5" x14ac:dyDescent="0.25">
      <c r="A49" s="19"/>
      <c r="B49" s="14" t="str">
        <f t="shared" si="6"/>
        <v>Northern</v>
      </c>
      <c r="C49" s="1" t="s">
        <v>52</v>
      </c>
      <c r="D49" s="2">
        <v>2235</v>
      </c>
      <c r="E49" s="2">
        <v>2234</v>
      </c>
      <c r="F49" s="2">
        <v>1756</v>
      </c>
      <c r="G49" s="5">
        <v>0.79</v>
      </c>
      <c r="H49" s="3">
        <v>987</v>
      </c>
      <c r="I49" s="3">
        <v>10</v>
      </c>
      <c r="J49" s="22">
        <v>0</v>
      </c>
    </row>
    <row r="50" spans="1:10" x14ac:dyDescent="0.25">
      <c r="A50" s="19"/>
      <c r="B50" s="14" t="str">
        <f t="shared" si="6"/>
        <v>Northern</v>
      </c>
      <c r="C50" s="1" t="s">
        <v>53</v>
      </c>
      <c r="D50" s="3">
        <v>925</v>
      </c>
      <c r="E50" s="3">
        <v>925</v>
      </c>
      <c r="F50" s="3">
        <v>513</v>
      </c>
      <c r="G50" s="5">
        <v>0.55000000000000004</v>
      </c>
      <c r="H50" s="3">
        <v>314</v>
      </c>
      <c r="I50" s="4">
        <v>0</v>
      </c>
      <c r="J50" s="22">
        <v>0</v>
      </c>
    </row>
    <row r="51" spans="1:10" x14ac:dyDescent="0.25">
      <c r="A51" s="19"/>
      <c r="B51" s="14" t="str">
        <f t="shared" si="6"/>
        <v>Northern</v>
      </c>
      <c r="C51" s="1" t="s">
        <v>54</v>
      </c>
      <c r="D51" s="2">
        <v>5410</v>
      </c>
      <c r="E51" s="2">
        <v>5370</v>
      </c>
      <c r="F51" s="2">
        <v>3915</v>
      </c>
      <c r="G51" s="5">
        <v>0.72</v>
      </c>
      <c r="H51" s="2">
        <v>2326</v>
      </c>
      <c r="I51" s="3">
        <v>136</v>
      </c>
      <c r="J51" s="20">
        <v>27</v>
      </c>
    </row>
    <row r="52" spans="1:10" ht="15" customHeight="1" x14ac:dyDescent="0.25">
      <c r="A52" s="19"/>
      <c r="B52" s="13" t="s">
        <v>101</v>
      </c>
      <c r="C52" s="1" t="s">
        <v>55</v>
      </c>
      <c r="D52" s="3">
        <v>2</v>
      </c>
      <c r="E52" s="3">
        <v>2</v>
      </c>
      <c r="F52" s="3">
        <v>2</v>
      </c>
      <c r="G52" s="5">
        <v>1</v>
      </c>
      <c r="H52" s="4">
        <v>0</v>
      </c>
      <c r="I52" s="4">
        <v>0</v>
      </c>
      <c r="J52" s="22">
        <v>0</v>
      </c>
    </row>
    <row r="53" spans="1:10" ht="25.5" x14ac:dyDescent="0.25">
      <c r="A53" s="19"/>
      <c r="B53" s="13" t="s">
        <v>101</v>
      </c>
      <c r="C53" s="1" t="s">
        <v>56</v>
      </c>
      <c r="D53" s="3">
        <v>23</v>
      </c>
      <c r="E53" s="3">
        <v>23</v>
      </c>
      <c r="F53" s="3">
        <v>15</v>
      </c>
      <c r="G53" s="5">
        <v>0.65</v>
      </c>
      <c r="H53" s="3">
        <v>4</v>
      </c>
      <c r="I53" s="3">
        <v>1</v>
      </c>
      <c r="J53" s="22">
        <v>0</v>
      </c>
    </row>
    <row r="54" spans="1:10" ht="25.5" x14ac:dyDescent="0.25">
      <c r="A54" s="19"/>
      <c r="B54" s="13" t="s">
        <v>101</v>
      </c>
      <c r="C54" s="1" t="s">
        <v>57</v>
      </c>
      <c r="D54" s="3">
        <v>93</v>
      </c>
      <c r="E54" s="3">
        <v>93</v>
      </c>
      <c r="F54" s="3">
        <v>77</v>
      </c>
      <c r="G54" s="5">
        <v>0.83</v>
      </c>
      <c r="H54" s="3">
        <v>63</v>
      </c>
      <c r="I54" s="3">
        <v>13</v>
      </c>
      <c r="J54" s="20">
        <v>1</v>
      </c>
    </row>
    <row r="55" spans="1:10" ht="25.5" x14ac:dyDescent="0.25">
      <c r="A55" s="19"/>
      <c r="B55" s="13" t="s">
        <v>101</v>
      </c>
      <c r="C55" s="1" t="s">
        <v>58</v>
      </c>
      <c r="D55" s="2">
        <v>1910</v>
      </c>
      <c r="E55" s="2">
        <v>1747</v>
      </c>
      <c r="F55" s="2">
        <v>1309</v>
      </c>
      <c r="G55" s="5">
        <v>0.69</v>
      </c>
      <c r="H55" s="3">
        <v>739</v>
      </c>
      <c r="I55" s="3">
        <v>42</v>
      </c>
      <c r="J55" s="20">
        <v>10</v>
      </c>
    </row>
    <row r="56" spans="1:10" ht="25.5" x14ac:dyDescent="0.25">
      <c r="A56" s="19"/>
      <c r="B56" s="13" t="s">
        <v>101</v>
      </c>
      <c r="C56" s="1" t="s">
        <v>59</v>
      </c>
      <c r="D56" s="2">
        <v>1517</v>
      </c>
      <c r="E56" s="2">
        <v>1517</v>
      </c>
      <c r="F56" s="2">
        <v>1048</v>
      </c>
      <c r="G56" s="5">
        <v>0.69</v>
      </c>
      <c r="H56" s="3">
        <v>390</v>
      </c>
      <c r="I56" s="3">
        <v>36</v>
      </c>
      <c r="J56" s="20">
        <v>7</v>
      </c>
    </row>
    <row r="57" spans="1:10" ht="25.5" x14ac:dyDescent="0.25">
      <c r="A57" s="19"/>
      <c r="B57" s="13" t="s">
        <v>101</v>
      </c>
      <c r="C57" s="1" t="s">
        <v>60</v>
      </c>
      <c r="D57" s="3">
        <v>810</v>
      </c>
      <c r="E57" s="3">
        <v>810</v>
      </c>
      <c r="F57" s="3">
        <v>622</v>
      </c>
      <c r="G57" s="5">
        <v>0.77</v>
      </c>
      <c r="H57" s="3">
        <v>446</v>
      </c>
      <c r="I57" s="3">
        <v>25</v>
      </c>
      <c r="J57" s="20">
        <v>4</v>
      </c>
    </row>
    <row r="58" spans="1:10" ht="25.5" x14ac:dyDescent="0.25">
      <c r="A58" s="19"/>
      <c r="B58" s="13" t="s">
        <v>101</v>
      </c>
      <c r="C58" s="1" t="s">
        <v>61</v>
      </c>
      <c r="D58" s="2">
        <v>1928</v>
      </c>
      <c r="E58" s="2">
        <v>1890</v>
      </c>
      <c r="F58" s="2">
        <v>1472</v>
      </c>
      <c r="G58" s="5">
        <v>0.76</v>
      </c>
      <c r="H58" s="3">
        <v>849</v>
      </c>
      <c r="I58" s="3">
        <v>15</v>
      </c>
      <c r="J58" s="22">
        <v>0</v>
      </c>
    </row>
    <row r="59" spans="1:10" ht="25.5" x14ac:dyDescent="0.25">
      <c r="A59" s="19"/>
      <c r="B59" s="13" t="s">
        <v>101</v>
      </c>
      <c r="C59" s="1" t="s">
        <v>62</v>
      </c>
      <c r="D59" s="3">
        <v>30</v>
      </c>
      <c r="E59" s="3">
        <v>30</v>
      </c>
      <c r="F59" s="3">
        <v>11</v>
      </c>
      <c r="G59" s="5">
        <v>0.37</v>
      </c>
      <c r="H59" s="3">
        <v>2</v>
      </c>
      <c r="I59" s="3">
        <v>2</v>
      </c>
      <c r="J59" s="22">
        <v>0</v>
      </c>
    </row>
    <row r="60" spans="1:10" x14ac:dyDescent="0.25">
      <c r="A60" s="19"/>
      <c r="B60" s="13" t="s">
        <v>63</v>
      </c>
      <c r="C60" s="1" t="s">
        <v>64</v>
      </c>
      <c r="D60" s="2">
        <v>2368</v>
      </c>
      <c r="E60" s="2">
        <v>2057</v>
      </c>
      <c r="F60" s="2">
        <v>1318</v>
      </c>
      <c r="G60" s="5">
        <v>0.56000000000000005</v>
      </c>
      <c r="H60" s="3">
        <v>913</v>
      </c>
      <c r="I60" s="3">
        <v>3</v>
      </c>
      <c r="J60" s="20">
        <v>1</v>
      </c>
    </row>
    <row r="61" spans="1:10" x14ac:dyDescent="0.25">
      <c r="A61" s="19"/>
      <c r="B61" s="14" t="str">
        <f t="shared" ref="B61:B69" si="7">B60</f>
        <v>Southern</v>
      </c>
      <c r="C61" s="1" t="s">
        <v>65</v>
      </c>
      <c r="D61" s="3">
        <v>734</v>
      </c>
      <c r="E61" s="3">
        <v>658</v>
      </c>
      <c r="F61" s="3">
        <v>321</v>
      </c>
      <c r="G61" s="5">
        <v>0.44</v>
      </c>
      <c r="H61" s="3">
        <v>125</v>
      </c>
      <c r="I61" s="3">
        <v>19</v>
      </c>
      <c r="J61" s="22">
        <v>0</v>
      </c>
    </row>
    <row r="62" spans="1:10" ht="25.5" x14ac:dyDescent="0.25">
      <c r="A62" s="19"/>
      <c r="B62" s="14" t="str">
        <f t="shared" si="7"/>
        <v>Southern</v>
      </c>
      <c r="C62" s="1" t="s">
        <v>87</v>
      </c>
      <c r="D62" s="2">
        <v>1915</v>
      </c>
      <c r="E62" s="2">
        <v>1756</v>
      </c>
      <c r="F62" s="2">
        <v>1857</v>
      </c>
      <c r="G62" s="5">
        <v>0.97</v>
      </c>
      <c r="H62" s="2">
        <v>1492</v>
      </c>
      <c r="I62" s="3">
        <v>11</v>
      </c>
      <c r="J62" s="22">
        <v>0</v>
      </c>
    </row>
    <row r="63" spans="1:10" x14ac:dyDescent="0.25">
      <c r="A63" s="19"/>
      <c r="B63" s="14" t="str">
        <f t="shared" si="7"/>
        <v>Southern</v>
      </c>
      <c r="C63" s="1" t="s">
        <v>66</v>
      </c>
      <c r="D63" s="2">
        <v>6657</v>
      </c>
      <c r="E63" s="2">
        <v>5720</v>
      </c>
      <c r="F63" s="2">
        <v>5416</v>
      </c>
      <c r="G63" s="5">
        <v>0.81</v>
      </c>
      <c r="H63" s="2">
        <v>3991</v>
      </c>
      <c r="I63" s="3">
        <v>27</v>
      </c>
      <c r="J63" s="20">
        <v>42</v>
      </c>
    </row>
    <row r="64" spans="1:10" ht="25.5" x14ac:dyDescent="0.25">
      <c r="A64" s="19"/>
      <c r="B64" s="14" t="str">
        <f t="shared" si="7"/>
        <v>Southern</v>
      </c>
      <c r="C64" s="1" t="s">
        <v>67</v>
      </c>
      <c r="D64" s="2">
        <v>1092</v>
      </c>
      <c r="E64" s="2">
        <v>1092</v>
      </c>
      <c r="F64" s="2">
        <v>1112</v>
      </c>
      <c r="G64" s="5">
        <v>1.02</v>
      </c>
      <c r="H64" s="3">
        <v>457</v>
      </c>
      <c r="I64" s="4">
        <v>0</v>
      </c>
      <c r="J64" s="22">
        <v>0</v>
      </c>
    </row>
    <row r="65" spans="1:10" x14ac:dyDescent="0.25">
      <c r="A65" s="19"/>
      <c r="B65" s="14" t="str">
        <f t="shared" si="7"/>
        <v>Southern</v>
      </c>
      <c r="C65" s="1" t="s">
        <v>68</v>
      </c>
      <c r="D65" s="2">
        <v>5976</v>
      </c>
      <c r="E65" s="2">
        <v>5331</v>
      </c>
      <c r="F65" s="2">
        <v>9999</v>
      </c>
      <c r="G65" s="5">
        <v>1.67</v>
      </c>
      <c r="H65" s="2">
        <v>8230</v>
      </c>
      <c r="I65" s="3">
        <v>92</v>
      </c>
      <c r="J65" s="20">
        <v>35</v>
      </c>
    </row>
    <row r="66" spans="1:10" x14ac:dyDescent="0.25">
      <c r="A66" s="19"/>
      <c r="B66" s="14" t="str">
        <f t="shared" si="7"/>
        <v>Southern</v>
      </c>
      <c r="C66" s="1" t="s">
        <v>69</v>
      </c>
      <c r="D66" s="2">
        <v>4960</v>
      </c>
      <c r="E66" s="2">
        <v>3083</v>
      </c>
      <c r="F66" s="2">
        <v>1873</v>
      </c>
      <c r="G66" s="5">
        <v>0.38</v>
      </c>
      <c r="H66" s="3">
        <v>906</v>
      </c>
      <c r="I66" s="3">
        <v>4</v>
      </c>
      <c r="J66" s="20">
        <v>1</v>
      </c>
    </row>
    <row r="67" spans="1:10" x14ac:dyDescent="0.25">
      <c r="A67" s="19"/>
      <c r="B67" s="14" t="str">
        <f t="shared" si="7"/>
        <v>Southern</v>
      </c>
      <c r="C67" s="1" t="s">
        <v>70</v>
      </c>
      <c r="D67" s="3">
        <v>569</v>
      </c>
      <c r="E67" s="3">
        <v>395</v>
      </c>
      <c r="F67" s="3">
        <v>252</v>
      </c>
      <c r="G67" s="5">
        <v>0.44</v>
      </c>
      <c r="H67" s="3">
        <v>128</v>
      </c>
      <c r="I67" s="3">
        <v>11</v>
      </c>
      <c r="J67" s="22">
        <v>0</v>
      </c>
    </row>
    <row r="68" spans="1:10" x14ac:dyDescent="0.25">
      <c r="A68" s="19"/>
      <c r="B68" s="14" t="str">
        <f t="shared" si="7"/>
        <v>Southern</v>
      </c>
      <c r="C68" s="1" t="s">
        <v>71</v>
      </c>
      <c r="D68" s="3">
        <v>390</v>
      </c>
      <c r="E68" s="3">
        <v>332</v>
      </c>
      <c r="F68" s="3">
        <v>434</v>
      </c>
      <c r="G68" s="5">
        <v>1.1100000000000001</v>
      </c>
      <c r="H68" s="3">
        <v>390</v>
      </c>
      <c r="I68" s="3">
        <v>2</v>
      </c>
      <c r="J68" s="20">
        <v>2</v>
      </c>
    </row>
    <row r="69" spans="1:10" ht="25.5" x14ac:dyDescent="0.25">
      <c r="A69" s="19"/>
      <c r="B69" s="14" t="str">
        <f t="shared" si="7"/>
        <v>Southern</v>
      </c>
      <c r="C69" s="1" t="s">
        <v>72</v>
      </c>
      <c r="D69" s="3">
        <v>30</v>
      </c>
      <c r="E69" s="3">
        <v>30</v>
      </c>
      <c r="F69" s="3">
        <v>15</v>
      </c>
      <c r="G69" s="5">
        <v>0.5</v>
      </c>
      <c r="H69" s="4">
        <v>0</v>
      </c>
      <c r="I69" s="4">
        <v>0</v>
      </c>
      <c r="J69" s="22">
        <v>0</v>
      </c>
    </row>
    <row r="70" spans="1:10" x14ac:dyDescent="0.25">
      <c r="A70" s="19"/>
      <c r="B70" s="13" t="s">
        <v>73</v>
      </c>
      <c r="C70" s="1" t="s">
        <v>74</v>
      </c>
      <c r="D70" s="2">
        <v>3000</v>
      </c>
      <c r="E70" s="2">
        <v>2976</v>
      </c>
      <c r="F70" s="2">
        <v>3289</v>
      </c>
      <c r="G70" s="5">
        <v>1.1000000000000001</v>
      </c>
      <c r="H70" s="2">
        <v>2071</v>
      </c>
      <c r="I70" s="3">
        <v>217</v>
      </c>
      <c r="J70" s="20">
        <v>19</v>
      </c>
    </row>
    <row r="71" spans="1:10" x14ac:dyDescent="0.25">
      <c r="A71" s="19"/>
      <c r="B71" s="14" t="str">
        <f t="shared" ref="B71:B72" si="8">B70</f>
        <v>Western</v>
      </c>
      <c r="C71" s="1" t="s">
        <v>75</v>
      </c>
      <c r="D71" s="3">
        <v>17</v>
      </c>
      <c r="E71" s="3">
        <v>17</v>
      </c>
      <c r="F71" s="4">
        <v>0</v>
      </c>
      <c r="G71" s="4">
        <v>0</v>
      </c>
      <c r="H71" s="4">
        <v>0</v>
      </c>
      <c r="I71" s="4">
        <v>0</v>
      </c>
      <c r="J71" s="22">
        <v>0</v>
      </c>
    </row>
    <row r="72" spans="1:10" ht="25.5" x14ac:dyDescent="0.25">
      <c r="A72" s="19"/>
      <c r="B72" s="14" t="str">
        <f t="shared" si="8"/>
        <v>Western</v>
      </c>
      <c r="C72" s="1" t="s">
        <v>76</v>
      </c>
      <c r="D72" s="3">
        <v>288</v>
      </c>
      <c r="E72" s="3">
        <v>281</v>
      </c>
      <c r="F72" s="3">
        <v>43</v>
      </c>
      <c r="G72" s="5">
        <v>0.15</v>
      </c>
      <c r="H72" s="3">
        <v>42</v>
      </c>
      <c r="I72" s="4">
        <v>0</v>
      </c>
      <c r="J72" s="2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1"/>
  <sheetViews>
    <sheetView topLeftCell="A73" workbookViewId="0">
      <selection activeCell="T15" sqref="T15"/>
    </sheetView>
  </sheetViews>
  <sheetFormatPr defaultRowHeight="15" x14ac:dyDescent="0.25"/>
  <cols>
    <col min="1" max="1" width="14.28515625" customWidth="1"/>
    <col min="2" max="2" width="22.42578125" customWidth="1"/>
    <col min="3" max="3" width="25.140625" customWidth="1"/>
    <col min="4" max="4" width="17" customWidth="1"/>
    <col min="5" max="5" width="2" customWidth="1"/>
    <col min="6" max="14" width="3" customWidth="1"/>
    <col min="15" max="33" width="4" customWidth="1"/>
    <col min="34" max="60" width="5" customWidth="1"/>
    <col min="61" max="72" width="6" customWidth="1"/>
    <col min="73" max="73" width="11.28515625" bestFit="1" customWidth="1"/>
  </cols>
  <sheetData>
    <row r="3" spans="1:2" x14ac:dyDescent="0.25">
      <c r="A3" s="10" t="s">
        <v>88</v>
      </c>
      <c r="B3" t="s">
        <v>100</v>
      </c>
    </row>
    <row r="4" spans="1:2" x14ac:dyDescent="0.25">
      <c r="A4" s="11" t="s">
        <v>89</v>
      </c>
      <c r="B4" s="12">
        <v>179907</v>
      </c>
    </row>
    <row r="5" spans="1:2" x14ac:dyDescent="0.25">
      <c r="A5" s="11" t="s">
        <v>91</v>
      </c>
      <c r="B5" s="12">
        <v>122608</v>
      </c>
    </row>
    <row r="6" spans="1:2" x14ac:dyDescent="0.25">
      <c r="A6" s="11" t="s">
        <v>90</v>
      </c>
      <c r="B6" s="12">
        <v>58234</v>
      </c>
    </row>
    <row r="7" spans="1:2" x14ac:dyDescent="0.25">
      <c r="A7" s="11" t="s">
        <v>93</v>
      </c>
      <c r="B7" s="12">
        <v>24666</v>
      </c>
    </row>
    <row r="8" spans="1:2" x14ac:dyDescent="0.25">
      <c r="A8" s="11" t="s">
        <v>96</v>
      </c>
      <c r="B8" s="12">
        <v>22597</v>
      </c>
    </row>
    <row r="9" spans="1:2" x14ac:dyDescent="0.25">
      <c r="A9" s="11" t="s">
        <v>95</v>
      </c>
      <c r="B9" s="12">
        <v>13525</v>
      </c>
    </row>
    <row r="10" spans="1:2" x14ac:dyDescent="0.25">
      <c r="A10" s="11" t="s">
        <v>94</v>
      </c>
      <c r="B10" s="12">
        <v>5534</v>
      </c>
    </row>
    <row r="11" spans="1:2" x14ac:dyDescent="0.25">
      <c r="A11" s="11" t="s">
        <v>101</v>
      </c>
      <c r="B11" s="12">
        <v>4556</v>
      </c>
    </row>
    <row r="12" spans="1:2" x14ac:dyDescent="0.25">
      <c r="A12" s="11" t="s">
        <v>92</v>
      </c>
      <c r="B12" s="12">
        <v>3723</v>
      </c>
    </row>
    <row r="13" spans="1:2" x14ac:dyDescent="0.25">
      <c r="A13" s="11" t="s">
        <v>97</v>
      </c>
      <c r="B13" s="12">
        <v>3332</v>
      </c>
    </row>
    <row r="14" spans="1:2" x14ac:dyDescent="0.25">
      <c r="A14" s="11" t="s">
        <v>98</v>
      </c>
      <c r="B14" s="12">
        <v>438682</v>
      </c>
    </row>
    <row r="20" spans="1:3" x14ac:dyDescent="0.25">
      <c r="A20" s="10" t="s">
        <v>88</v>
      </c>
      <c r="B20" t="s">
        <v>99</v>
      </c>
      <c r="C20" t="s">
        <v>102</v>
      </c>
    </row>
    <row r="21" spans="1:3" x14ac:dyDescent="0.25">
      <c r="A21" s="11" t="s">
        <v>89</v>
      </c>
      <c r="B21" s="12">
        <v>164755</v>
      </c>
      <c r="C21" s="12">
        <v>158553</v>
      </c>
    </row>
    <row r="22" spans="1:3" x14ac:dyDescent="0.25">
      <c r="A22" s="11" t="s">
        <v>90</v>
      </c>
      <c r="B22" s="12">
        <v>31705</v>
      </c>
      <c r="C22" s="12">
        <v>31007</v>
      </c>
    </row>
    <row r="23" spans="1:3" x14ac:dyDescent="0.25">
      <c r="A23" s="11" t="s">
        <v>91</v>
      </c>
      <c r="B23" s="12">
        <v>160185</v>
      </c>
      <c r="C23" s="12">
        <v>153607</v>
      </c>
    </row>
    <row r="24" spans="1:3" x14ac:dyDescent="0.25">
      <c r="A24" s="11" t="s">
        <v>92</v>
      </c>
      <c r="B24" s="12">
        <v>3225</v>
      </c>
      <c r="C24" s="12">
        <v>3124</v>
      </c>
    </row>
    <row r="25" spans="1:3" x14ac:dyDescent="0.25">
      <c r="A25" s="11" t="s">
        <v>93</v>
      </c>
      <c r="B25" s="12">
        <v>17883</v>
      </c>
      <c r="C25" s="12">
        <v>16275</v>
      </c>
    </row>
    <row r="26" spans="1:3" x14ac:dyDescent="0.25">
      <c r="A26" s="11" t="s">
        <v>94</v>
      </c>
      <c r="B26" s="12">
        <v>6813</v>
      </c>
      <c r="C26" s="12">
        <v>6319</v>
      </c>
    </row>
    <row r="27" spans="1:3" x14ac:dyDescent="0.25">
      <c r="A27" s="11" t="s">
        <v>101</v>
      </c>
      <c r="B27" s="12">
        <v>6313</v>
      </c>
      <c r="C27" s="12">
        <v>6112</v>
      </c>
    </row>
    <row r="28" spans="1:3" x14ac:dyDescent="0.25">
      <c r="A28" s="11" t="s">
        <v>95</v>
      </c>
      <c r="B28" s="12">
        <v>17401</v>
      </c>
      <c r="C28" s="12">
        <v>17118</v>
      </c>
    </row>
    <row r="29" spans="1:3" x14ac:dyDescent="0.25">
      <c r="A29" s="11" t="s">
        <v>96</v>
      </c>
      <c r="B29" s="12">
        <v>24691</v>
      </c>
      <c r="C29" s="12">
        <v>20454</v>
      </c>
    </row>
    <row r="30" spans="1:3" x14ac:dyDescent="0.25">
      <c r="A30" s="11" t="s">
        <v>97</v>
      </c>
      <c r="B30" s="12">
        <v>3305</v>
      </c>
      <c r="C30" s="12">
        <v>3274</v>
      </c>
    </row>
    <row r="31" spans="1:3" x14ac:dyDescent="0.25">
      <c r="A31" s="11" t="s">
        <v>98</v>
      </c>
      <c r="B31" s="12">
        <v>436276</v>
      </c>
      <c r="C31" s="12">
        <v>415843</v>
      </c>
    </row>
    <row r="35" spans="2:3" x14ac:dyDescent="0.25">
      <c r="B35" s="10" t="s">
        <v>88</v>
      </c>
      <c r="C35" t="s">
        <v>103</v>
      </c>
    </row>
    <row r="36" spans="2:3" x14ac:dyDescent="0.25">
      <c r="B36" s="11" t="s">
        <v>89</v>
      </c>
      <c r="C36" s="12">
        <v>1.3071428571428569</v>
      </c>
    </row>
    <row r="37" spans="2:3" x14ac:dyDescent="0.25">
      <c r="B37" s="11" t="s">
        <v>90</v>
      </c>
      <c r="C37" s="12">
        <v>1.5539999999999998</v>
      </c>
    </row>
    <row r="38" spans="2:3" x14ac:dyDescent="0.25">
      <c r="B38" s="11" t="s">
        <v>91</v>
      </c>
      <c r="C38" s="12">
        <v>0.80857142857142861</v>
      </c>
    </row>
    <row r="39" spans="2:3" x14ac:dyDescent="0.25">
      <c r="B39" s="11" t="s">
        <v>92</v>
      </c>
      <c r="C39" s="12">
        <v>0.98857142857142855</v>
      </c>
    </row>
    <row r="40" spans="2:3" x14ac:dyDescent="0.25">
      <c r="B40" s="11" t="s">
        <v>93</v>
      </c>
      <c r="C40" s="12">
        <v>1.31</v>
      </c>
    </row>
    <row r="41" spans="2:3" x14ac:dyDescent="0.25">
      <c r="B41" s="11" t="s">
        <v>94</v>
      </c>
      <c r="C41" s="12">
        <v>0.65499999999999992</v>
      </c>
    </row>
    <row r="42" spans="2:3" x14ac:dyDescent="0.25">
      <c r="B42" s="11" t="s">
        <v>101</v>
      </c>
      <c r="C42" s="12">
        <v>0.72</v>
      </c>
    </row>
    <row r="43" spans="2:3" x14ac:dyDescent="0.25">
      <c r="B43" s="11" t="s">
        <v>95</v>
      </c>
      <c r="C43" s="12">
        <v>0.94222222222222207</v>
      </c>
    </row>
    <row r="44" spans="2:3" x14ac:dyDescent="0.25">
      <c r="B44" s="11" t="s">
        <v>96</v>
      </c>
      <c r="C44" s="12">
        <v>0.79000000000000015</v>
      </c>
    </row>
    <row r="45" spans="2:3" x14ac:dyDescent="0.25">
      <c r="B45" s="11" t="s">
        <v>97</v>
      </c>
      <c r="C45" s="12">
        <v>0.41666666666666669</v>
      </c>
    </row>
    <row r="46" spans="2:3" x14ac:dyDescent="0.25">
      <c r="B46" s="11" t="s">
        <v>98</v>
      </c>
      <c r="C46" s="12">
        <v>0.98352112676056314</v>
      </c>
    </row>
    <row r="52" spans="2:4" x14ac:dyDescent="0.25">
      <c r="B52" s="10" t="s">
        <v>88</v>
      </c>
      <c r="C52" t="s">
        <v>100</v>
      </c>
      <c r="D52" t="s">
        <v>104</v>
      </c>
    </row>
    <row r="53" spans="2:4" x14ac:dyDescent="0.25">
      <c r="B53" s="11" t="s">
        <v>89</v>
      </c>
      <c r="C53" s="12">
        <v>179907</v>
      </c>
      <c r="D53" s="12">
        <v>131395</v>
      </c>
    </row>
    <row r="54" spans="2:4" x14ac:dyDescent="0.25">
      <c r="B54" s="11" t="s">
        <v>90</v>
      </c>
      <c r="C54" s="12">
        <v>58234</v>
      </c>
      <c r="D54" s="12">
        <v>52101</v>
      </c>
    </row>
    <row r="55" spans="2:4" x14ac:dyDescent="0.25">
      <c r="B55" s="11" t="s">
        <v>91</v>
      </c>
      <c r="C55" s="12">
        <v>122608</v>
      </c>
      <c r="D55" s="12">
        <v>92203</v>
      </c>
    </row>
    <row r="56" spans="2:4" x14ac:dyDescent="0.25">
      <c r="B56" s="11" t="s">
        <v>92</v>
      </c>
      <c r="C56" s="12">
        <v>3723</v>
      </c>
      <c r="D56" s="12">
        <v>2370</v>
      </c>
    </row>
    <row r="57" spans="2:4" x14ac:dyDescent="0.25">
      <c r="B57" s="11" t="s">
        <v>93</v>
      </c>
      <c r="C57" s="12">
        <v>24666</v>
      </c>
      <c r="D57" s="12">
        <v>18803</v>
      </c>
    </row>
    <row r="58" spans="2:4" x14ac:dyDescent="0.25">
      <c r="B58" s="11" t="s">
        <v>94</v>
      </c>
      <c r="C58" s="12">
        <v>5534</v>
      </c>
      <c r="D58" s="12">
        <v>2257</v>
      </c>
    </row>
    <row r="59" spans="2:4" x14ac:dyDescent="0.25">
      <c r="B59" s="11" t="s">
        <v>101</v>
      </c>
      <c r="C59" s="12">
        <v>4556</v>
      </c>
      <c r="D59" s="12">
        <v>2493</v>
      </c>
    </row>
    <row r="60" spans="2:4" x14ac:dyDescent="0.25">
      <c r="B60" s="11" t="s">
        <v>95</v>
      </c>
      <c r="C60" s="12">
        <v>13525</v>
      </c>
      <c r="D60" s="12">
        <v>8156</v>
      </c>
    </row>
    <row r="61" spans="2:4" x14ac:dyDescent="0.25">
      <c r="B61" s="11" t="s">
        <v>96</v>
      </c>
      <c r="C61" s="12">
        <v>22597</v>
      </c>
      <c r="D61" s="12">
        <v>16632</v>
      </c>
    </row>
    <row r="62" spans="2:4" x14ac:dyDescent="0.25">
      <c r="B62" s="11" t="s">
        <v>97</v>
      </c>
      <c r="C62" s="12">
        <v>3332</v>
      </c>
      <c r="D62" s="12">
        <v>2113</v>
      </c>
    </row>
    <row r="63" spans="2:4" x14ac:dyDescent="0.25">
      <c r="B63" s="11" t="s">
        <v>98</v>
      </c>
      <c r="C63" s="12">
        <v>438682</v>
      </c>
      <c r="D63" s="12">
        <v>328523</v>
      </c>
    </row>
    <row r="70" spans="2:3" x14ac:dyDescent="0.25">
      <c r="B70" s="10" t="s">
        <v>88</v>
      </c>
      <c r="C70" t="s">
        <v>100</v>
      </c>
    </row>
    <row r="71" spans="2:3" x14ac:dyDescent="0.25">
      <c r="B71" s="11" t="s">
        <v>89</v>
      </c>
      <c r="C71" s="12">
        <v>179907</v>
      </c>
    </row>
    <row r="72" spans="2:3" x14ac:dyDescent="0.25">
      <c r="B72" s="11" t="s">
        <v>90</v>
      </c>
      <c r="C72" s="12">
        <v>58234</v>
      </c>
    </row>
    <row r="73" spans="2:3" x14ac:dyDescent="0.25">
      <c r="B73" s="11" t="s">
        <v>91</v>
      </c>
      <c r="C73" s="12">
        <v>122608</v>
      </c>
    </row>
    <row r="74" spans="2:3" x14ac:dyDescent="0.25">
      <c r="B74" s="11" t="s">
        <v>92</v>
      </c>
      <c r="C74" s="12">
        <v>3723</v>
      </c>
    </row>
    <row r="75" spans="2:3" x14ac:dyDescent="0.25">
      <c r="B75" s="11" t="s">
        <v>93</v>
      </c>
      <c r="C75" s="12">
        <v>24666</v>
      </c>
    </row>
    <row r="76" spans="2:3" x14ac:dyDescent="0.25">
      <c r="B76" s="11" t="s">
        <v>94</v>
      </c>
      <c r="C76" s="12">
        <v>5534</v>
      </c>
    </row>
    <row r="77" spans="2:3" x14ac:dyDescent="0.25">
      <c r="B77" s="11" t="s">
        <v>101</v>
      </c>
      <c r="C77" s="12">
        <v>4556</v>
      </c>
    </row>
    <row r="78" spans="2:3" x14ac:dyDescent="0.25">
      <c r="B78" s="11" t="s">
        <v>95</v>
      </c>
      <c r="C78" s="12">
        <v>13525</v>
      </c>
    </row>
    <row r="79" spans="2:3" x14ac:dyDescent="0.25">
      <c r="B79" s="11" t="s">
        <v>96</v>
      </c>
      <c r="C79" s="12">
        <v>22597</v>
      </c>
    </row>
    <row r="80" spans="2:3" x14ac:dyDescent="0.25">
      <c r="B80" s="11" t="s">
        <v>97</v>
      </c>
      <c r="C80" s="12">
        <v>3332</v>
      </c>
    </row>
    <row r="81" spans="2:3" x14ac:dyDescent="0.25">
      <c r="B81" s="11" t="s">
        <v>98</v>
      </c>
      <c r="C81" s="12">
        <v>438682</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showGridLines="0" tabSelected="1" workbookViewId="0">
      <selection activeCell="P3" sqref="P3"/>
    </sheetView>
  </sheetViews>
  <sheetFormatPr defaultRowHeight="15" x14ac:dyDescent="0.25"/>
  <sheetData>
    <row r="1" spans="1:14" ht="15" customHeight="1" x14ac:dyDescent="0.25">
      <c r="A1" s="16" t="s">
        <v>105</v>
      </c>
      <c r="B1" s="16"/>
      <c r="C1" s="16"/>
      <c r="D1" s="16"/>
      <c r="E1" s="16"/>
      <c r="F1" s="16"/>
      <c r="G1" s="16"/>
      <c r="H1" s="16"/>
      <c r="I1" s="16"/>
      <c r="J1" s="16"/>
      <c r="K1" s="16"/>
      <c r="L1" s="16"/>
      <c r="M1" s="16"/>
      <c r="N1" s="16"/>
    </row>
    <row r="2" spans="1:14" x14ac:dyDescent="0.25">
      <c r="A2" s="16"/>
      <c r="B2" s="16"/>
      <c r="C2" s="16"/>
      <c r="D2" s="16"/>
      <c r="E2" s="16"/>
      <c r="F2" s="16"/>
      <c r="G2" s="16"/>
      <c r="H2" s="16"/>
      <c r="I2" s="16"/>
      <c r="J2" s="16"/>
      <c r="K2" s="16"/>
      <c r="L2" s="16"/>
      <c r="M2" s="16"/>
      <c r="N2" s="16"/>
    </row>
    <row r="3" spans="1:14" x14ac:dyDescent="0.25">
      <c r="A3" s="16"/>
      <c r="B3" s="16"/>
      <c r="C3" s="16"/>
      <c r="D3" s="16"/>
      <c r="E3" s="16"/>
      <c r="F3" s="16"/>
      <c r="G3" s="16"/>
      <c r="H3" s="16"/>
      <c r="I3" s="16"/>
      <c r="J3" s="16"/>
      <c r="K3" s="16"/>
      <c r="L3" s="16"/>
      <c r="M3" s="16"/>
      <c r="N3" s="16"/>
    </row>
    <row r="4" spans="1:14" x14ac:dyDescent="0.25">
      <c r="A4" s="16"/>
      <c r="B4" s="16"/>
      <c r="C4" s="16"/>
      <c r="D4" s="16"/>
      <c r="E4" s="16"/>
      <c r="F4" s="16"/>
      <c r="G4" s="16"/>
      <c r="H4" s="16"/>
      <c r="I4" s="16"/>
      <c r="J4" s="16"/>
      <c r="K4" s="16"/>
      <c r="L4" s="16"/>
      <c r="M4" s="16"/>
      <c r="N4" s="16"/>
    </row>
  </sheetData>
  <mergeCells count="1">
    <mergeCell ref="A1: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Soya production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2025-11-05T05:32:42Z</dcterms:created>
  <dcterms:modified xsi:type="dcterms:W3CDTF">2025-12-19T10:49:24Z</dcterms:modified>
</cp:coreProperties>
</file>